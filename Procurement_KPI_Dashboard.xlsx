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l/Downloads/New Folder With Items 6/"/>
    </mc:Choice>
  </mc:AlternateContent>
  <xr:revisionPtr revIDLastSave="0" documentId="13_ncr:1_{59A630A0-898F-5946-BD8C-859C017A8D07}" xr6:coauthVersionLast="47" xr6:coauthVersionMax="47" xr10:uidLastSave="{00000000-0000-0000-0000-000000000000}"/>
  <bookViews>
    <workbookView xWindow="0" yWindow="660" windowWidth="29400" windowHeight="18460" xr2:uid="{AF2122FD-15F5-BE4B-A4F9-3D507593D372}"/>
  </bookViews>
  <sheets>
    <sheet name="Dashboard" sheetId="1" r:id="rId1"/>
    <sheet name="Overall_KPI" sheetId="6" r:id="rId2"/>
    <sheet name="Monthly_KPI" sheetId="7" r:id="rId3"/>
    <sheet name="supplier_kpi_summary" sheetId="9" r:id="rId4"/>
    <sheet name="category_kpi_summary" sheetId="11" r:id="rId5"/>
  </sheets>
  <definedNames>
    <definedName name="ExternalData_1" localSheetId="4" hidden="1">'category_kpi_summary'!$A$1:$G$6</definedName>
    <definedName name="ExternalData_1" localSheetId="2" hidden="1">Monthly_KPI!$A$1:$J$26</definedName>
    <definedName name="ExternalData_1" localSheetId="1" hidden="1">Overall_KPI!$A$1:$B$9</definedName>
    <definedName name="ExternalData_1" localSheetId="3" hidden="1">supplier_kpi_summary!$A$1:$J$6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A550AD-6E0C-7C4D-A77F-07EC97442B84}" keepAlive="1" name="Query - category_kpi_summary" description="Connection to the 'category_kpi_summary' query in the workbook." type="5" refreshedVersion="8" background="1" saveData="1">
    <dbPr connection="Provider=Microsoft.Mashup.OleDb.1;Data Source=$Workbook$;Location=category_kpi_summary;Extended Properties=&quot;&quot;" command="SELECT * FROM [category_kpi_summary]"/>
  </connection>
  <connection id="2" xr16:uid="{45B8112A-0157-C440-B306-317309D5D43E}" keepAlive="1" name="Query - monthly_kpi_summary" description="Connection to the 'monthly_kpi_summary' query in the workbook." type="5" refreshedVersion="8" background="1" saveData="1">
    <dbPr connection="Provider=Microsoft.Mashup.OleDb.1;Data Source=$Workbook$;Location=monthly_kpi_summary;Extended Properties=&quot;&quot;" command="SELECT * FROM [monthly_kpi_summary]"/>
  </connection>
  <connection id="3" xr16:uid="{A179753E-D911-DA4F-BA7B-95E0EE6CA729}" keepAlive="1" name="Query - overall_kpis" description="Connection to the 'overall_kpis' query in the workbook." type="5" refreshedVersion="8" background="1" saveData="1">
    <dbPr connection="Provider=Microsoft.Mashup.OleDb.1;Data Source=$Workbook$;Location=overall_kpis;Extended Properties=&quot;&quot;" command="SELECT * FROM [overall_kpis]"/>
  </connection>
  <connection id="4" xr16:uid="{874E4C1A-1E76-194B-9D82-3703E6D5128B}" keepAlive="1" name="Query - supplier_kpi_summary" description="Connection to the 'supplier_kpi_summary' query in the workbook." type="5" refreshedVersion="8" background="1" saveData="1">
    <dbPr connection="Provider=Microsoft.Mashup.OleDb.1;Data Source=$Workbook$;Location=supplier_kpi_summary;Extended Properties=&quot;&quot;" command="SELECT * FROM [supplier_kpi_summary]"/>
  </connection>
</connections>
</file>

<file path=xl/sharedStrings.xml><?xml version="1.0" encoding="utf-8"?>
<sst xmlns="http://schemas.openxmlformats.org/spreadsheetml/2006/main" count="66" uniqueCount="50">
  <si>
    <t>Metric</t>
  </si>
  <si>
    <t>Value</t>
  </si>
  <si>
    <t>Total Purchase Orders</t>
  </si>
  <si>
    <t>Total Procurement Spend</t>
  </si>
  <si>
    <t>Total Savings</t>
  </si>
  <si>
    <t>Compliance Rate</t>
  </si>
  <si>
    <t>Defect Rate</t>
  </si>
  <si>
    <t>Delivery Issue Rate</t>
  </si>
  <si>
    <t>Total Suppliers</t>
  </si>
  <si>
    <t>Average Order Value</t>
  </si>
  <si>
    <t>Procurement KPI &amp; Supplier Performance Dashboard</t>
  </si>
  <si>
    <t>Python-Based Procurement Analytics | Excel Dashboard</t>
  </si>
  <si>
    <t>Monthly Procurement Trends</t>
  </si>
  <si>
    <t>Order_Month</t>
  </si>
  <si>
    <t>PO_Count</t>
  </si>
  <si>
    <t>Total_Spend</t>
  </si>
  <si>
    <t>Total_Savings</t>
  </si>
  <si>
    <t>Compliance_Rate</t>
  </si>
  <si>
    <t>Total_Defective_Units</t>
  </si>
  <si>
    <t>Total_Quantity</t>
  </si>
  <si>
    <t>Delivery_Issue_Count</t>
  </si>
  <si>
    <t>Defect_Rate</t>
  </si>
  <si>
    <t>Delivery_Issue_Rate</t>
  </si>
  <si>
    <t>Procurement Spend</t>
  </si>
  <si>
    <t>Monthly Purchase Orders</t>
  </si>
  <si>
    <t>Monthly Savings</t>
  </si>
  <si>
    <t>Monthly Delivery Issues</t>
  </si>
  <si>
    <t>Supplier Performance Analysis</t>
  </si>
  <si>
    <t>Supplier</t>
  </si>
  <si>
    <t>Beta_Supplies</t>
  </si>
  <si>
    <t>Epsilon_Group</t>
  </si>
  <si>
    <t>Delta_Logistics</t>
  </si>
  <si>
    <t>Gamma_Co</t>
  </si>
  <si>
    <t>Alpha_Inc</t>
  </si>
  <si>
    <t>Procurement Spend by Supplier</t>
  </si>
  <si>
    <t>Supplier Compliance Rate</t>
  </si>
  <si>
    <t>Supplier Defect Rate</t>
  </si>
  <si>
    <t>Delivery Issues by Supplier</t>
  </si>
  <si>
    <t>Category Analysis</t>
  </si>
  <si>
    <t>Item_Category</t>
  </si>
  <si>
    <t>MRO</t>
  </si>
  <si>
    <t>Office Supplies</t>
  </si>
  <si>
    <t>Electronics</t>
  </si>
  <si>
    <t>Raw Materials</t>
  </si>
  <si>
    <t>Packaging</t>
  </si>
  <si>
    <t>Procurement Spend by Category</t>
  </si>
  <si>
    <t>Purchase Orders by Category</t>
  </si>
  <si>
    <t>Savings by Category</t>
  </si>
  <si>
    <t>Defect Rate by Category</t>
  </si>
  <si>
    <t>Executive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</si>
</sst>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22"/>
      <color theme="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0" borderId="0" xfId="0" applyNumberFormat="1" applyFont="1" applyAlignment="1">
      <alignment horizontal="left"/>
    </xf>
    <xf numFmtId="1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Monthly_KPI!$C$1</c:f>
              <c:strCache>
                <c:ptCount val="1"/>
                <c:pt idx="0">
                  <c:v>Total_Spend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Monthly_KPI!$A$2:$A$26</c:f>
              <c:numCache>
                <c:formatCode>m/d/yy</c:formatCode>
                <c:ptCount val="2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</c:numCache>
            </c:numRef>
          </c:cat>
          <c:val>
            <c:numRef>
              <c:f>Monthly_KPI!$C$2:$C$26</c:f>
              <c:numCache>
                <c:formatCode>General</c:formatCode>
                <c:ptCount val="25"/>
                <c:pt idx="0">
                  <c:v>1536378.93</c:v>
                </c:pt>
                <c:pt idx="1">
                  <c:v>1377514.66</c:v>
                </c:pt>
                <c:pt idx="2">
                  <c:v>2592704.31</c:v>
                </c:pt>
                <c:pt idx="3">
                  <c:v>1928650.91</c:v>
                </c:pt>
                <c:pt idx="4">
                  <c:v>1181945.98</c:v>
                </c:pt>
                <c:pt idx="5">
                  <c:v>1556825.02</c:v>
                </c:pt>
                <c:pt idx="6">
                  <c:v>1293596.1100000001</c:v>
                </c:pt>
                <c:pt idx="7">
                  <c:v>2329232.23</c:v>
                </c:pt>
                <c:pt idx="8">
                  <c:v>2175996.89</c:v>
                </c:pt>
                <c:pt idx="9">
                  <c:v>1782151.4300000002</c:v>
                </c:pt>
                <c:pt idx="10">
                  <c:v>1535245.54</c:v>
                </c:pt>
                <c:pt idx="11">
                  <c:v>2171086.65</c:v>
                </c:pt>
                <c:pt idx="12">
                  <c:v>2276857.9900000002</c:v>
                </c:pt>
                <c:pt idx="13">
                  <c:v>1773987.81</c:v>
                </c:pt>
                <c:pt idx="14">
                  <c:v>2744443.66</c:v>
                </c:pt>
                <c:pt idx="15">
                  <c:v>1709713.8</c:v>
                </c:pt>
                <c:pt idx="16">
                  <c:v>1511826.2</c:v>
                </c:pt>
                <c:pt idx="17">
                  <c:v>1396136.4</c:v>
                </c:pt>
                <c:pt idx="18">
                  <c:v>2365673.85</c:v>
                </c:pt>
                <c:pt idx="19">
                  <c:v>2010221.33</c:v>
                </c:pt>
                <c:pt idx="20">
                  <c:v>2230645.2799999998</c:v>
                </c:pt>
                <c:pt idx="21">
                  <c:v>1869843.2</c:v>
                </c:pt>
                <c:pt idx="22">
                  <c:v>2583675.29</c:v>
                </c:pt>
                <c:pt idx="23">
                  <c:v>1270011.57</c:v>
                </c:pt>
                <c:pt idx="24">
                  <c:v>169331.34999999998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B-A44D-A4A7-757947EE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069632"/>
        <c:axId val="778063360"/>
      </c:lineChart>
      <c:dateAx>
        <c:axId val="7780696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63360"/>
        <c:crosses val="autoZero"/>
        <c:auto val="1"/>
        <c:lblOffset val="100"/>
        <c:baseTimeUnit val="months"/>
      </c:dateAx>
      <c:valAx>
        <c:axId val="7780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0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Monthly_KPI!$B$1</c:f>
              <c:strCache>
                <c:ptCount val="1"/>
                <c:pt idx="0">
                  <c:v>PO_Count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Monthly_KPI!$A$2:$A$26</c:f>
              <c:numCache>
                <c:formatCode>m/d/yy</c:formatCode>
                <c:ptCount val="2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</c:numCache>
            </c:numRef>
          </c:cat>
          <c:val>
            <c:numRef>
              <c:f>Monthly_KPI!$B$2:$B$26</c:f>
              <c:numCache>
                <c:formatCode>General</c:formatCode>
                <c:ptCount val="25"/>
                <c:pt idx="0">
                  <c:v>31</c:v>
                </c:pt>
                <c:pt idx="1">
                  <c:v>27</c:v>
                </c:pt>
                <c:pt idx="2">
                  <c:v>41</c:v>
                </c:pt>
                <c:pt idx="3">
                  <c:v>35</c:v>
                </c:pt>
                <c:pt idx="4">
                  <c:v>25</c:v>
                </c:pt>
                <c:pt idx="5">
                  <c:v>34</c:v>
                </c:pt>
                <c:pt idx="6">
                  <c:v>27</c:v>
                </c:pt>
                <c:pt idx="7">
                  <c:v>43</c:v>
                </c:pt>
                <c:pt idx="8">
                  <c:v>43</c:v>
                </c:pt>
                <c:pt idx="9">
                  <c:v>31</c:v>
                </c:pt>
                <c:pt idx="10">
                  <c:v>29</c:v>
                </c:pt>
                <c:pt idx="11">
                  <c:v>30</c:v>
                </c:pt>
                <c:pt idx="12">
                  <c:v>30</c:v>
                </c:pt>
                <c:pt idx="13">
                  <c:v>28</c:v>
                </c:pt>
                <c:pt idx="14">
                  <c:v>39</c:v>
                </c:pt>
                <c:pt idx="15">
                  <c:v>33</c:v>
                </c:pt>
                <c:pt idx="16">
                  <c:v>20</c:v>
                </c:pt>
                <c:pt idx="17">
                  <c:v>26</c:v>
                </c:pt>
                <c:pt idx="18">
                  <c:v>44</c:v>
                </c:pt>
                <c:pt idx="19">
                  <c:v>31</c:v>
                </c:pt>
                <c:pt idx="20">
                  <c:v>29</c:v>
                </c:pt>
                <c:pt idx="21">
                  <c:v>29</c:v>
                </c:pt>
                <c:pt idx="22">
                  <c:v>44</c:v>
                </c:pt>
                <c:pt idx="23">
                  <c:v>26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B-9E40-9E42-04C7186CE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176192"/>
        <c:axId val="778407872"/>
      </c:barChart>
      <c:dateAx>
        <c:axId val="8051761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07872"/>
        <c:crosses val="autoZero"/>
        <c:auto val="1"/>
        <c:lblOffset val="100"/>
        <c:baseTimeUnit val="months"/>
      </c:dateAx>
      <c:valAx>
        <c:axId val="7784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7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Monthly_KPI!$D$1</c:f>
              <c:strCache>
                <c:ptCount val="1"/>
                <c:pt idx="0">
                  <c:v>Total_Savings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Monthly_KPI!$A$2:$A$26</c:f>
              <c:numCache>
                <c:formatCode>m/d/yy</c:formatCode>
                <c:ptCount val="2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</c:numCache>
            </c:numRef>
          </c:xVal>
          <c:yVal>
            <c:numRef>
              <c:f>Monthly_KPI!$D$2:$D$26</c:f>
              <c:numCache>
                <c:formatCode>General</c:formatCode>
                <c:ptCount val="25"/>
                <c:pt idx="0">
                  <c:v>144355.32999999999</c:v>
                </c:pt>
                <c:pt idx="1">
                  <c:v>131521.91000000003</c:v>
                </c:pt>
                <c:pt idx="2">
                  <c:v>184753.14999999997</c:v>
                </c:pt>
                <c:pt idx="3">
                  <c:v>171358.22</c:v>
                </c:pt>
                <c:pt idx="4">
                  <c:v>90386.459999999948</c:v>
                </c:pt>
                <c:pt idx="5">
                  <c:v>152476.81999999998</c:v>
                </c:pt>
                <c:pt idx="6">
                  <c:v>127829.62999999999</c:v>
                </c:pt>
                <c:pt idx="7">
                  <c:v>175961.66999999998</c:v>
                </c:pt>
                <c:pt idx="8">
                  <c:v>164677.77999999994</c:v>
                </c:pt>
                <c:pt idx="9">
                  <c:v>172109.45999999996</c:v>
                </c:pt>
                <c:pt idx="10">
                  <c:v>145303.10999999993</c:v>
                </c:pt>
                <c:pt idx="11">
                  <c:v>182634.79</c:v>
                </c:pt>
                <c:pt idx="12">
                  <c:v>160296.26999999996</c:v>
                </c:pt>
                <c:pt idx="13">
                  <c:v>144945.07999999999</c:v>
                </c:pt>
                <c:pt idx="14">
                  <c:v>290124.75000000006</c:v>
                </c:pt>
                <c:pt idx="15">
                  <c:v>179736.89999999997</c:v>
                </c:pt>
                <c:pt idx="16">
                  <c:v>131034.63000000003</c:v>
                </c:pt>
                <c:pt idx="17">
                  <c:v>102045.05000000003</c:v>
                </c:pt>
                <c:pt idx="18">
                  <c:v>207210.72000000003</c:v>
                </c:pt>
                <c:pt idx="19">
                  <c:v>154790.0199999999</c:v>
                </c:pt>
                <c:pt idx="20">
                  <c:v>215637.56000000006</c:v>
                </c:pt>
                <c:pt idx="21">
                  <c:v>147164.17999999993</c:v>
                </c:pt>
                <c:pt idx="22">
                  <c:v>220489.45999999993</c:v>
                </c:pt>
                <c:pt idx="23">
                  <c:v>117763.01999999997</c:v>
                </c:pt>
                <c:pt idx="24">
                  <c:v>16520.500000000015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36-614B-B370-BA82E7802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02496"/>
        <c:axId val="778199808"/>
      </c:scatterChart>
      <c:valAx>
        <c:axId val="7782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99808"/>
        <c:crosses val="autoZero"/>
        <c:crossBetween val="midCat"/>
      </c:valAx>
      <c:valAx>
        <c:axId val="7781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0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Monthly_KPI!$J$1</c:f>
              <c:strCache>
                <c:ptCount val="1"/>
                <c:pt idx="0">
                  <c:v>Delivery_Issue_Rate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Monthly_KPI!$A$2:$A$26</c:f>
              <c:numCache>
                <c:formatCode>m/d/yy</c:formatCode>
                <c:ptCount val="2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</c:numCache>
            </c:numRef>
          </c:cat>
          <c:val>
            <c:numRef>
              <c:f>Monthly_KPI!$J$2:$J$26</c:f>
              <c:numCache>
                <c:formatCode>General</c:formatCode>
                <c:ptCount val="25"/>
                <c:pt idx="0">
                  <c:v>0.35483870967741937</c:v>
                </c:pt>
                <c:pt idx="1">
                  <c:v>0.37037037037037035</c:v>
                </c:pt>
                <c:pt idx="2">
                  <c:v>0.29268292682926828</c:v>
                </c:pt>
                <c:pt idx="3">
                  <c:v>0.22857142857142856</c:v>
                </c:pt>
                <c:pt idx="4">
                  <c:v>0.36</c:v>
                </c:pt>
                <c:pt idx="5">
                  <c:v>0.29411764705882354</c:v>
                </c:pt>
                <c:pt idx="6">
                  <c:v>0.33333333333333331</c:v>
                </c:pt>
                <c:pt idx="7">
                  <c:v>0.37209302325581395</c:v>
                </c:pt>
                <c:pt idx="8">
                  <c:v>0.20930232558139536</c:v>
                </c:pt>
                <c:pt idx="9">
                  <c:v>0.25806451612903225</c:v>
                </c:pt>
                <c:pt idx="10">
                  <c:v>0.34482758620689657</c:v>
                </c:pt>
                <c:pt idx="11">
                  <c:v>0.3</c:v>
                </c:pt>
                <c:pt idx="12">
                  <c:v>0.2</c:v>
                </c:pt>
                <c:pt idx="13">
                  <c:v>0.25</c:v>
                </c:pt>
                <c:pt idx="14">
                  <c:v>0.23076923076923078</c:v>
                </c:pt>
                <c:pt idx="15">
                  <c:v>0.24242424242424243</c:v>
                </c:pt>
                <c:pt idx="16">
                  <c:v>0.25</c:v>
                </c:pt>
                <c:pt idx="17">
                  <c:v>0.23076923076923078</c:v>
                </c:pt>
                <c:pt idx="18">
                  <c:v>0.20454545454545456</c:v>
                </c:pt>
                <c:pt idx="19">
                  <c:v>0.32258064516129031</c:v>
                </c:pt>
                <c:pt idx="20">
                  <c:v>0.20689655172413793</c:v>
                </c:pt>
                <c:pt idx="21">
                  <c:v>0.2413793103448276</c:v>
                </c:pt>
                <c:pt idx="22">
                  <c:v>0.34090909090909088</c:v>
                </c:pt>
                <c:pt idx="23">
                  <c:v>0.23076923076923078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164B-A6F2-A9F65271F4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72324672"/>
        <c:axId val="772322432"/>
      </c:barChart>
      <c:dateAx>
        <c:axId val="7723246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22432"/>
        <c:crosses val="autoZero"/>
        <c:auto val="1"/>
        <c:lblOffset val="100"/>
        <c:baseTimeUnit val="months"/>
      </c:dateAx>
      <c:valAx>
        <c:axId val="772322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232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supplier_kpi_summary!$C$1</c:f>
              <c:strCache>
                <c:ptCount val="1"/>
                <c:pt idx="0">
                  <c:v>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supplier_kpi_summary!$A$2:$A$6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supplier_kpi_summary!$C$2:$C$6</c:f>
              <c:numCache>
                <c:formatCode>General</c:formatCode>
                <c:ptCount val="5"/>
                <c:pt idx="0">
                  <c:v>9858665.9000000004</c:v>
                </c:pt>
                <c:pt idx="1">
                  <c:v>9851156.0600000005</c:v>
                </c:pt>
                <c:pt idx="2">
                  <c:v>9236240.4700000007</c:v>
                </c:pt>
                <c:pt idx="3">
                  <c:v>8587921.7100000009</c:v>
                </c:pt>
                <c:pt idx="4">
                  <c:v>7839712.25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F-E64D-BB3B-BE5279F4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607808"/>
        <c:axId val="773611840"/>
      </c:barChart>
      <c:catAx>
        <c:axId val="77360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11840"/>
        <c:crosses val="autoZero"/>
        <c:auto val="1"/>
        <c:lblAlgn val="ctr"/>
        <c:lblOffset val="100"/>
        <c:noMultiLvlLbl val="0"/>
      </c:catAx>
      <c:valAx>
        <c:axId val="7736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6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supplier_kpi_summary!$E$1</c:f>
              <c:strCache>
                <c:ptCount val="1"/>
                <c:pt idx="0">
                  <c:v>Compliance_Rate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supplier_kpi_summary!$A$2:$A$6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supplier_kpi_summary!$E$2:$E$6</c:f>
              <c:numCache>
                <c:formatCode>General</c:formatCode>
                <c:ptCount val="5"/>
                <c:pt idx="0">
                  <c:v>0.75641025641025639</c:v>
                </c:pt>
                <c:pt idx="1">
                  <c:v>0.98192771084337349</c:v>
                </c:pt>
                <c:pt idx="2">
                  <c:v>0.60818713450292394</c:v>
                </c:pt>
                <c:pt idx="3">
                  <c:v>0.8601398601398601</c:v>
                </c:pt>
                <c:pt idx="4">
                  <c:v>0.93617021276595747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8-0541-9E31-D5F7C94C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135808"/>
        <c:axId val="803129088"/>
      </c:barChart>
      <c:catAx>
        <c:axId val="8031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29088"/>
        <c:crosses val="autoZero"/>
        <c:auto val="1"/>
        <c:lblAlgn val="ctr"/>
        <c:lblOffset val="100"/>
        <c:noMultiLvlLbl val="0"/>
      </c:catAx>
      <c:valAx>
        <c:axId val="8031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supplier_kpi_summary!$F$1</c:f>
              <c:strCache>
                <c:ptCount val="1"/>
                <c:pt idx="0">
                  <c:v>Total_Defective_Units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supplier_kpi_summary!$A$2:$A$6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supplier_kpi_summary!$F$2:$F$6</c:f>
              <c:numCache>
                <c:formatCode>General</c:formatCode>
                <c:ptCount val="5"/>
                <c:pt idx="0">
                  <c:v>13838</c:v>
                </c:pt>
                <c:pt idx="1">
                  <c:v>4682</c:v>
                </c:pt>
                <c:pt idx="2">
                  <c:v>19678</c:v>
                </c:pt>
                <c:pt idx="3">
                  <c:v>7034</c:v>
                </c:pt>
                <c:pt idx="4">
                  <c:v>2717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D-2345-AAC3-BFDB04B02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009472"/>
        <c:axId val="764007232"/>
      </c:barChart>
      <c:catAx>
        <c:axId val="76400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07232"/>
        <c:crosses val="autoZero"/>
        <c:auto val="1"/>
        <c:lblAlgn val="ctr"/>
        <c:lblOffset val="100"/>
        <c:noMultiLvlLbl val="0"/>
      </c:catAx>
      <c:valAx>
        <c:axId val="7640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0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supplier_kpi_summary!$H$1</c:f>
              <c:strCache>
                <c:ptCount val="1"/>
                <c:pt idx="0">
                  <c:v>Delivery_Issue_Count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supplier_kpi_summary!$A$2:$A$6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supplier_kpi_summary!$H$2:$H$6</c:f>
              <c:numCache>
                <c:formatCode>General</c:formatCode>
                <c:ptCount val="5"/>
                <c:pt idx="0">
                  <c:v>43</c:v>
                </c:pt>
                <c:pt idx="1">
                  <c:v>45</c:v>
                </c:pt>
                <c:pt idx="2">
                  <c:v>52</c:v>
                </c:pt>
                <c:pt idx="3">
                  <c:v>33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8-8B44-83B7-280B2A2D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252096"/>
        <c:axId val="764253888"/>
      </c:barChart>
      <c:catAx>
        <c:axId val="76425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888"/>
        <c:crosses val="autoZero"/>
        <c:auto val="1"/>
        <c:lblAlgn val="ctr"/>
        <c:lblOffset val="100"/>
        <c:noMultiLvlLbl val="0"/>
      </c:catAx>
      <c:valAx>
        <c:axId val="76425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'category_kpi_summary'!$C$1</c:f>
              <c:strCache>
                <c:ptCount val="1"/>
                <c:pt idx="0">
                  <c:v>Total_Spend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'category_kpi_summary'!$A$2:$A$6</c:f>
              <c:strCache>
                <c:ptCount val="5"/>
                <c:pt idx="0">
                  <c:v>MRO</c:v>
                </c:pt>
                <c:pt idx="1">
                  <c:v>Office Supplies</c:v>
                </c:pt>
                <c:pt idx="2">
                  <c:v>Electronics</c:v>
                </c:pt>
                <c:pt idx="3">
                  <c:v>Raw Materials</c:v>
                </c:pt>
                <c:pt idx="4">
                  <c:v>Packaging</c:v>
                </c:pt>
              </c:strCache>
            </c:strRef>
          </c:cat>
          <c:val>
            <c:numRef>
              <c:f>'category_kpi_summary'!$C$2:$C$6</c:f>
              <c:numCache>
                <c:formatCode>General</c:formatCode>
                <c:ptCount val="5"/>
                <c:pt idx="0">
                  <c:v>10126608.859999999</c:v>
                </c:pt>
                <c:pt idx="1">
                  <c:v>10007583.029999999</c:v>
                </c:pt>
                <c:pt idx="2">
                  <c:v>8642550.5999999996</c:v>
                </c:pt>
                <c:pt idx="3">
                  <c:v>8471241.4199999999</c:v>
                </c:pt>
                <c:pt idx="4">
                  <c:v>8125712.4800000004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A-3D4D-A4F9-E837B1B4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925952"/>
        <c:axId val="765923712"/>
      </c:barChart>
      <c:catAx>
        <c:axId val="7659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23712"/>
        <c:crosses val="autoZero"/>
        <c:auto val="1"/>
        <c:lblAlgn val="ctr"/>
        <c:lblOffset val="100"/>
        <c:noMultiLvlLbl val="0"/>
      </c:catAx>
      <c:valAx>
        <c:axId val="765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'category_kpi_summary'!$B$1</c:f>
              <c:strCache>
                <c:ptCount val="1"/>
                <c:pt idx="0">
                  <c:v>PO_Count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'category_kpi_summary'!$A$2:$A$6</c:f>
              <c:strCache>
                <c:ptCount val="5"/>
                <c:pt idx="0">
                  <c:v>MRO</c:v>
                </c:pt>
                <c:pt idx="1">
                  <c:v>Office Supplies</c:v>
                </c:pt>
                <c:pt idx="2">
                  <c:v>Electronics</c:v>
                </c:pt>
                <c:pt idx="3">
                  <c:v>Raw Materials</c:v>
                </c:pt>
                <c:pt idx="4">
                  <c:v>Packaging</c:v>
                </c:pt>
              </c:strCache>
            </c:strRef>
          </c:cat>
          <c:val>
            <c:numRef>
              <c:f>'category_kpi_summary'!$B$2:$B$6</c:f>
              <c:numCache>
                <c:formatCode>General</c:formatCode>
                <c:ptCount val="5"/>
                <c:pt idx="0">
                  <c:v>164</c:v>
                </c:pt>
                <c:pt idx="1">
                  <c:v>174</c:v>
                </c:pt>
                <c:pt idx="2">
                  <c:v>152</c:v>
                </c:pt>
                <c:pt idx="3">
                  <c:v>139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B-0A40-AE55-45F8E70E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332992"/>
        <c:axId val="772332544"/>
      </c:barChart>
      <c:catAx>
        <c:axId val="7723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32544"/>
        <c:crosses val="autoZero"/>
        <c:auto val="1"/>
        <c:lblAlgn val="ctr"/>
        <c:lblOffset val="100"/>
        <c:noMultiLvlLbl val="0"/>
      </c:catAx>
      <c:valAx>
        <c:axId val="7723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'category_kpi_summary'!$D$1</c:f>
              <c:strCache>
                <c:ptCount val="1"/>
                <c:pt idx="0">
                  <c:v>Total_Savings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'category_kpi_summary'!$A$2:$A$6</c:f>
              <c:strCache>
                <c:ptCount val="5"/>
                <c:pt idx="0">
                  <c:v>MRO</c:v>
                </c:pt>
                <c:pt idx="1">
                  <c:v>Office Supplies</c:v>
                </c:pt>
                <c:pt idx="2">
                  <c:v>Electronics</c:v>
                </c:pt>
                <c:pt idx="3">
                  <c:v>Raw Materials</c:v>
                </c:pt>
                <c:pt idx="4">
                  <c:v>Packaging</c:v>
                </c:pt>
              </c:strCache>
            </c:strRef>
          </c:cat>
          <c:val>
            <c:numRef>
              <c:f>'category_kpi_summary'!$D$2:$D$6</c:f>
              <c:numCache>
                <c:formatCode>General</c:formatCode>
                <c:ptCount val="5"/>
                <c:pt idx="0">
                  <c:v>902312.31</c:v>
                </c:pt>
                <c:pt idx="1">
                  <c:v>844096.15999999992</c:v>
                </c:pt>
                <c:pt idx="2">
                  <c:v>742876.22999999986</c:v>
                </c:pt>
                <c:pt idx="3">
                  <c:v>709097.24999999988</c:v>
                </c:pt>
                <c:pt idx="4">
                  <c:v>732744.5199999999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B-8A41-9A09-823FDA65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91104"/>
        <c:axId val="772589760"/>
      </c:barChart>
      <c:catAx>
        <c:axId val="7725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89760"/>
        <c:crosses val="autoZero"/>
        <c:auto val="1"/>
        <c:lblAlgn val="ctr"/>
        <c:lblOffset val="100"/>
        <c:noMultiLvlLbl val="0"/>
      </c:catAx>
      <c:valAx>
        <c:axId val="77258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5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'category_kpi_summary'!$E$1</c:f>
              <c:strCache>
                <c:ptCount val="1"/>
                <c:pt idx="0">
                  <c:v>Total_Defective_Units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'category_kpi_summary'!$A$2:$A$6</c:f>
              <c:strCache>
                <c:ptCount val="5"/>
                <c:pt idx="0">
                  <c:v>MRO</c:v>
                </c:pt>
                <c:pt idx="1">
                  <c:v>Office Supplies</c:v>
                </c:pt>
                <c:pt idx="2">
                  <c:v>Electronics</c:v>
                </c:pt>
                <c:pt idx="3">
                  <c:v>Raw Materials</c:v>
                </c:pt>
                <c:pt idx="4">
                  <c:v>Packaging</c:v>
                </c:pt>
              </c:strCache>
            </c:strRef>
          </c:cat>
          <c:val>
            <c:numRef>
              <c:f>'category_kpi_summary'!$E$2:$E$6</c:f>
              <c:numCache>
                <c:formatCode>General</c:formatCode>
                <c:ptCount val="5"/>
                <c:pt idx="0">
                  <c:v>9741</c:v>
                </c:pt>
                <c:pt idx="1">
                  <c:v>11233</c:v>
                </c:pt>
                <c:pt idx="2">
                  <c:v>8981</c:v>
                </c:pt>
                <c:pt idx="3">
                  <c:v>9642</c:v>
                </c:pt>
                <c:pt idx="4">
                  <c:v>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B-D849-B4C1-382F6795D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590976"/>
        <c:axId val="773598592"/>
      </c:barChart>
      <c:catAx>
        <c:axId val="77359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98592"/>
        <c:crosses val="autoZero"/>
        <c:auto val="1"/>
        <c:lblAlgn val="ctr"/>
        <c:lblOffset val="100"/>
        <c:noMultiLvlLbl val="0"/>
      </c:catAx>
      <c:valAx>
        <c:axId val="77359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9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4</xdr:row>
      <xdr:rowOff>38100</xdr:rowOff>
    </xdr:from>
    <xdr:to>
      <xdr:col>4</xdr:col>
      <xdr:colOff>520700</xdr:colOff>
      <xdr:row>7</xdr:row>
      <xdr:rowOff>190500</xdr:rowOff>
    </xdr:to>
    <xdr:sp macro="" textlink="Overall_KPI!B2">
      <xdr:nvSpPr>
        <xdr:cNvPr id="3" name="Rounded Rectangle 2">
          <a:extLst>
            <a:ext uri="{FF2B5EF4-FFF2-40B4-BE49-F238E27FC236}">
              <a16:creationId xmlns:a16="http://schemas.microsoft.com/office/drawing/2014/main" id="{BEEF6DAB-554F-5581-9173-333328C8DCC6}"/>
            </a:ext>
          </a:extLst>
        </xdr:cNvPr>
        <xdr:cNvSpPr/>
      </xdr:nvSpPr>
      <xdr:spPr>
        <a:xfrm>
          <a:off x="2527300" y="850900"/>
          <a:ext cx="2209800" cy="762000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+mn-lt"/>
            </a:rPr>
            <a:t>Total Purchase Orders</a:t>
          </a:r>
        </a:p>
        <a:p>
          <a:pPr algn="ctr"/>
          <a:fld id="{9B509733-F8D7-DF45-9BE7-E5234D03BD21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777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4</xdr:col>
      <xdr:colOff>787400</xdr:colOff>
      <xdr:row>4</xdr:row>
      <xdr:rowOff>63500</xdr:rowOff>
    </xdr:from>
    <xdr:to>
      <xdr:col>6</xdr:col>
      <xdr:colOff>889000</xdr:colOff>
      <xdr:row>8</xdr:row>
      <xdr:rowOff>12700</xdr:rowOff>
    </xdr:to>
    <xdr:sp macro="" textlink="Overall_KPI!B4">
      <xdr:nvSpPr>
        <xdr:cNvPr id="6" name="Rounded Rectangle 5">
          <a:extLst>
            <a:ext uri="{FF2B5EF4-FFF2-40B4-BE49-F238E27FC236}">
              <a16:creationId xmlns:a16="http://schemas.microsoft.com/office/drawing/2014/main" id="{248E2E6E-C7F8-884B-815E-89D6657E87BB}"/>
            </a:ext>
          </a:extLst>
        </xdr:cNvPr>
        <xdr:cNvSpPr/>
      </xdr:nvSpPr>
      <xdr:spPr>
        <a:xfrm>
          <a:off x="5003800" y="876300"/>
          <a:ext cx="2209800" cy="762000"/>
        </a:xfrm>
        <a:prstGeom prst="roundRect">
          <a:avLst/>
        </a:prstGeom>
        <a:solidFill>
          <a:schemeClr val="accent6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Total Savings</a:t>
          </a:r>
          <a:endParaRPr lang="en-US" sz="1200" b="1" i="0" u="none" strike="noStrike">
            <a:solidFill>
              <a:schemeClr val="tx1"/>
            </a:solidFill>
            <a:latin typeface="Aptos Narrow"/>
          </a:endParaRPr>
        </a:p>
        <a:p>
          <a:pPr algn="ctr"/>
          <a:fld id="{FEF110AE-BBC0-7F42-B445-DC3FD8A6EFD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3,931,126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241300</xdr:colOff>
      <xdr:row>4</xdr:row>
      <xdr:rowOff>76200</xdr:rowOff>
    </xdr:from>
    <xdr:to>
      <xdr:col>9</xdr:col>
      <xdr:colOff>342900</xdr:colOff>
      <xdr:row>8</xdr:row>
      <xdr:rowOff>25400</xdr:rowOff>
    </xdr:to>
    <xdr:sp macro="" textlink="Overall_KPI!B8">
      <xdr:nvSpPr>
        <xdr:cNvPr id="7" name="Rounded Rectangle 6">
          <a:extLst>
            <a:ext uri="{FF2B5EF4-FFF2-40B4-BE49-F238E27FC236}">
              <a16:creationId xmlns:a16="http://schemas.microsoft.com/office/drawing/2014/main" id="{9F9BD927-80EC-1B41-AA70-667FA0271D9C}"/>
            </a:ext>
          </a:extLst>
        </xdr:cNvPr>
        <xdr:cNvSpPr/>
      </xdr:nvSpPr>
      <xdr:spPr>
        <a:xfrm>
          <a:off x="7620000" y="889000"/>
          <a:ext cx="2209800" cy="762000"/>
        </a:xfrm>
        <a:prstGeom prst="roundRect">
          <a:avLst/>
        </a:prstGeom>
        <a:solidFill>
          <a:schemeClr val="accent5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+mn-lt"/>
            </a:rPr>
            <a:t>Total</a:t>
          </a:r>
          <a:r>
            <a:rPr lang="en-US" sz="1200" b="1" i="0" u="none" strike="noStrike" baseline="0">
              <a:solidFill>
                <a:schemeClr val="tx1"/>
              </a:solidFill>
              <a:latin typeface="+mn-lt"/>
            </a:rPr>
            <a:t> Suppliers</a:t>
          </a:r>
          <a:endParaRPr lang="en-US" sz="1200" b="1" i="0" u="none" strike="noStrike">
            <a:solidFill>
              <a:schemeClr val="tx1"/>
            </a:solidFill>
            <a:latin typeface="Aptos Narrow"/>
          </a:endParaRPr>
        </a:p>
        <a:p>
          <a:pPr algn="ctr"/>
          <a:fld id="{404F38F9-6C17-8742-A425-EA0B407CD36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5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711200</xdr:colOff>
      <xdr:row>4</xdr:row>
      <xdr:rowOff>76200</xdr:rowOff>
    </xdr:from>
    <xdr:to>
      <xdr:col>11</xdr:col>
      <xdr:colOff>812800</xdr:colOff>
      <xdr:row>8</xdr:row>
      <xdr:rowOff>25400</xdr:rowOff>
    </xdr:to>
    <xdr:sp macro="" textlink="Overall_KPI!B5">
      <xdr:nvSpPr>
        <xdr:cNvPr id="8" name="Rounded Rectangle 7">
          <a:extLst>
            <a:ext uri="{FF2B5EF4-FFF2-40B4-BE49-F238E27FC236}">
              <a16:creationId xmlns:a16="http://schemas.microsoft.com/office/drawing/2014/main" id="{1A386782-FBB7-B540-A0B7-86A08C8849CC}"/>
            </a:ext>
          </a:extLst>
        </xdr:cNvPr>
        <xdr:cNvSpPr/>
      </xdr:nvSpPr>
      <xdr:spPr>
        <a:xfrm>
          <a:off x="10198100" y="889000"/>
          <a:ext cx="2209800" cy="762000"/>
        </a:xfrm>
        <a:prstGeom prst="roundRect">
          <a:avLst/>
        </a:prstGeom>
        <a:solidFill>
          <a:schemeClr val="accent6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Narrow"/>
            </a:rPr>
            <a:t>Compliance</a:t>
          </a:r>
          <a:r>
            <a:rPr lang="en-US" sz="1200" b="1" i="0" u="none" strike="noStrike" baseline="0">
              <a:solidFill>
                <a:schemeClr val="tx1"/>
              </a:solidFill>
              <a:latin typeface="Aptos Narrow"/>
            </a:rPr>
            <a:t> Rate</a:t>
          </a:r>
          <a:endParaRPr lang="en-US" sz="1200" b="1" i="0" u="none" strike="noStrike">
            <a:solidFill>
              <a:schemeClr val="tx1"/>
            </a:solidFill>
            <a:latin typeface="Aptos Narrow"/>
          </a:endParaRPr>
        </a:p>
        <a:p>
          <a:pPr algn="ctr"/>
          <a:fld id="{B16892A1-38BF-DA4C-8C3D-790908CC9AC4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82.37%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2</xdr:col>
      <xdr:colOff>419100</xdr:colOff>
      <xdr:row>9</xdr:row>
      <xdr:rowOff>38100</xdr:rowOff>
    </xdr:from>
    <xdr:to>
      <xdr:col>4</xdr:col>
      <xdr:colOff>520700</xdr:colOff>
      <xdr:row>12</xdr:row>
      <xdr:rowOff>190500</xdr:rowOff>
    </xdr:to>
    <xdr:sp macro="" textlink="Overall_KPI!B6">
      <xdr:nvSpPr>
        <xdr:cNvPr id="9" name="Rounded Rectangle 8">
          <a:extLst>
            <a:ext uri="{FF2B5EF4-FFF2-40B4-BE49-F238E27FC236}">
              <a16:creationId xmlns:a16="http://schemas.microsoft.com/office/drawing/2014/main" id="{AECB13CF-7403-5345-9255-B49B6B934CFD}"/>
            </a:ext>
          </a:extLst>
        </xdr:cNvPr>
        <xdr:cNvSpPr/>
      </xdr:nvSpPr>
      <xdr:spPr>
        <a:xfrm>
          <a:off x="2527300" y="1866900"/>
          <a:ext cx="2209800" cy="762000"/>
        </a:xfrm>
        <a:prstGeom prst="roundRect">
          <a:avLst/>
        </a:prstGeom>
        <a:solidFill>
          <a:srgbClr val="FF0000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Narrow"/>
            </a:rPr>
            <a:t>Defect Rate</a:t>
          </a:r>
        </a:p>
        <a:p>
          <a:pPr algn="ctr"/>
          <a:fld id="{0D10DD51-0FE8-534D-95C3-5E60A13F6A7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5.64%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4</xdr:col>
      <xdr:colOff>812800</xdr:colOff>
      <xdr:row>9</xdr:row>
      <xdr:rowOff>63500</xdr:rowOff>
    </xdr:from>
    <xdr:to>
      <xdr:col>6</xdr:col>
      <xdr:colOff>914400</xdr:colOff>
      <xdr:row>13</xdr:row>
      <xdr:rowOff>12700</xdr:rowOff>
    </xdr:to>
    <xdr:sp macro="" textlink="Overall_KPI!B7">
      <xdr:nvSpPr>
        <xdr:cNvPr id="10" name="Rounded Rectangle 9">
          <a:extLst>
            <a:ext uri="{FF2B5EF4-FFF2-40B4-BE49-F238E27FC236}">
              <a16:creationId xmlns:a16="http://schemas.microsoft.com/office/drawing/2014/main" id="{118D1C30-374F-7A4A-9E8D-AF7BDEC6BEE9}"/>
            </a:ext>
          </a:extLst>
        </xdr:cNvPr>
        <xdr:cNvSpPr/>
      </xdr:nvSpPr>
      <xdr:spPr>
        <a:xfrm>
          <a:off x="5029200" y="1892300"/>
          <a:ext cx="2209800" cy="762000"/>
        </a:xfrm>
        <a:prstGeom prst="roundRect">
          <a:avLst/>
        </a:prstGeom>
        <a:solidFill>
          <a:srgbClr val="FFC000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Delivery Issue Rate</a:t>
          </a:r>
        </a:p>
        <a:p>
          <a:pPr algn="ctr"/>
          <a:fld id="{B8B608C6-8F2A-6C45-A3DD-12CBE97E1E0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27.93%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266700</xdr:colOff>
      <xdr:row>9</xdr:row>
      <xdr:rowOff>63500</xdr:rowOff>
    </xdr:from>
    <xdr:to>
      <xdr:col>9</xdr:col>
      <xdr:colOff>368300</xdr:colOff>
      <xdr:row>13</xdr:row>
      <xdr:rowOff>12700</xdr:rowOff>
    </xdr:to>
    <xdr:sp macro="" textlink="Overall_KPI!B9">
      <xdr:nvSpPr>
        <xdr:cNvPr id="11" name="Rounded Rectangle 10">
          <a:extLst>
            <a:ext uri="{FF2B5EF4-FFF2-40B4-BE49-F238E27FC236}">
              <a16:creationId xmlns:a16="http://schemas.microsoft.com/office/drawing/2014/main" id="{864B4C24-7893-A842-BAA2-5573085EF141}"/>
            </a:ext>
          </a:extLst>
        </xdr:cNvPr>
        <xdr:cNvSpPr/>
      </xdr:nvSpPr>
      <xdr:spPr>
        <a:xfrm>
          <a:off x="7645400" y="1892300"/>
          <a:ext cx="2209800" cy="7620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Average Order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Value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8C76072C-2E3D-B24B-BD49-2D5FC40F67CF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58,396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9</xdr:col>
      <xdr:colOff>723900</xdr:colOff>
      <xdr:row>9</xdr:row>
      <xdr:rowOff>101600</xdr:rowOff>
    </xdr:from>
    <xdr:to>
      <xdr:col>11</xdr:col>
      <xdr:colOff>825500</xdr:colOff>
      <xdr:row>13</xdr:row>
      <xdr:rowOff>50800</xdr:rowOff>
    </xdr:to>
    <xdr:sp macro="" textlink="Overall_KPI!B3">
      <xdr:nvSpPr>
        <xdr:cNvPr id="12" name="Rounded Rectangle 11">
          <a:extLst>
            <a:ext uri="{FF2B5EF4-FFF2-40B4-BE49-F238E27FC236}">
              <a16:creationId xmlns:a16="http://schemas.microsoft.com/office/drawing/2014/main" id="{2CE5D81D-118D-D541-BD3A-A16F74171987}"/>
            </a:ext>
          </a:extLst>
        </xdr:cNvPr>
        <xdr:cNvSpPr/>
      </xdr:nvSpPr>
      <xdr:spPr>
        <a:xfrm>
          <a:off x="10210800" y="1930400"/>
          <a:ext cx="2209800" cy="762000"/>
        </a:xfrm>
        <a:prstGeom prst="round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Procument Spend</a:t>
          </a:r>
        </a:p>
        <a:p>
          <a:pPr algn="ctr"/>
          <a:fld id="{67B189E0-3FE4-CB4F-AE1B-F990008C54D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45,373,696</a:t>
          </a:fld>
          <a:endParaRPr lang="en-US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445614</xdr:colOff>
      <xdr:row>22</xdr:row>
      <xdr:rowOff>100264</xdr:rowOff>
    </xdr:from>
    <xdr:to>
      <xdr:col>4</xdr:col>
      <xdr:colOff>784281</xdr:colOff>
      <xdr:row>36</xdr:row>
      <xdr:rowOff>36096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F7FF128-922E-E74B-867B-E4B5257A4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22280</xdr:colOff>
      <xdr:row>22</xdr:row>
      <xdr:rowOff>111403</xdr:rowOff>
    </xdr:from>
    <xdr:to>
      <xdr:col>9</xdr:col>
      <xdr:colOff>360947</xdr:colOff>
      <xdr:row>36</xdr:row>
      <xdr:rowOff>47235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BECA03-30BA-3D4A-9193-50E90621C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434474</xdr:colOff>
      <xdr:row>39</xdr:row>
      <xdr:rowOff>33422</xdr:rowOff>
    </xdr:from>
    <xdr:to>
      <xdr:col>4</xdr:col>
      <xdr:colOff>773141</xdr:colOff>
      <xdr:row>52</xdr:row>
      <xdr:rowOff>169780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9D4A90-DFD3-3844-BAAF-B206B22AD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22281</xdr:colOff>
      <xdr:row>39</xdr:row>
      <xdr:rowOff>44561</xdr:rowOff>
    </xdr:from>
    <xdr:to>
      <xdr:col>9</xdr:col>
      <xdr:colOff>360948</xdr:colOff>
      <xdr:row>52</xdr:row>
      <xdr:rowOff>180919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40D1CB3-A419-1544-B4DB-3EACDF84E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13510</xdr:colOff>
      <xdr:row>22</xdr:row>
      <xdr:rowOff>121596</xdr:rowOff>
    </xdr:from>
    <xdr:to>
      <xdr:col>15</xdr:col>
      <xdr:colOff>370191</xdr:colOff>
      <xdr:row>36</xdr:row>
      <xdr:rowOff>27562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B27B45-0021-8941-A697-887B2723F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837659</xdr:colOff>
      <xdr:row>22</xdr:row>
      <xdr:rowOff>175638</xdr:rowOff>
    </xdr:from>
    <xdr:to>
      <xdr:col>20</xdr:col>
      <xdr:colOff>140510</xdr:colOff>
      <xdr:row>36</xdr:row>
      <xdr:rowOff>81604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3ECDBB6-B548-1C41-B46E-345BA5BED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81063</xdr:colOff>
      <xdr:row>39</xdr:row>
      <xdr:rowOff>94575</xdr:rowOff>
    </xdr:from>
    <xdr:to>
      <xdr:col>15</xdr:col>
      <xdr:colOff>437744</xdr:colOff>
      <xdr:row>53</xdr:row>
      <xdr:rowOff>541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5BCE2C1-F8FA-9E45-9493-2A1D2856E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999787</xdr:colOff>
      <xdr:row>39</xdr:row>
      <xdr:rowOff>121596</xdr:rowOff>
    </xdr:from>
    <xdr:to>
      <xdr:col>20</xdr:col>
      <xdr:colOff>302638</xdr:colOff>
      <xdr:row>53</xdr:row>
      <xdr:rowOff>27562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CA31C70-2EA4-5F41-AA63-E7ED91ABA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50800</xdr:colOff>
      <xdr:row>65</xdr:row>
      <xdr:rowOff>101600</xdr:rowOff>
    </xdr:from>
    <xdr:to>
      <xdr:col>10</xdr:col>
      <xdr:colOff>355600</xdr:colOff>
      <xdr:row>79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07C0526-783E-DC4E-AB65-2E43453F3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43051</xdr:colOff>
      <xdr:row>65</xdr:row>
      <xdr:rowOff>86102</xdr:rowOff>
    </xdr:from>
    <xdr:to>
      <xdr:col>15</xdr:col>
      <xdr:colOff>396068</xdr:colOff>
      <xdr:row>78</xdr:row>
      <xdr:rowOff>170912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F10460D-2C6A-DD42-B4D3-FC6F14519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75339</xdr:colOff>
      <xdr:row>81</xdr:row>
      <xdr:rowOff>53813</xdr:rowOff>
    </xdr:from>
    <xdr:to>
      <xdr:col>10</xdr:col>
      <xdr:colOff>428356</xdr:colOff>
      <xdr:row>94</xdr:row>
      <xdr:rowOff>138624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61649EF-7F7E-FA44-97A6-1BEB9D92A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</xdr:colOff>
      <xdr:row>81</xdr:row>
      <xdr:rowOff>53815</xdr:rowOff>
    </xdr:from>
    <xdr:to>
      <xdr:col>15</xdr:col>
      <xdr:colOff>353018</xdr:colOff>
      <xdr:row>94</xdr:row>
      <xdr:rowOff>138626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59EEA8F-CCF4-2243-817F-06B381557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311930</xdr:colOff>
      <xdr:row>4</xdr:row>
      <xdr:rowOff>167106</xdr:rowOff>
    </xdr:from>
    <xdr:to>
      <xdr:col>18</xdr:col>
      <xdr:colOff>111404</xdr:colOff>
      <xdr:row>14</xdr:row>
      <xdr:rowOff>155965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AA975E61-A104-CA90-B0F2-D5268B8F4918}"/>
            </a:ext>
          </a:extLst>
        </xdr:cNvPr>
        <xdr:cNvSpPr/>
      </xdr:nvSpPr>
      <xdr:spPr>
        <a:xfrm>
          <a:off x="14070263" y="969211"/>
          <a:ext cx="5091141" cy="19941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• Total procurement spend reached 45.37 million across 777 purchase orders.</a:t>
          </a:r>
        </a:p>
        <a:p>
          <a:pPr algn="l"/>
          <a:r>
            <a:rPr lang="en-US" sz="1100"/>
            <a:t>• Procurement compliance remained strong at 82.37%.</a:t>
          </a:r>
        </a:p>
        <a:p>
          <a:pPr algn="l"/>
          <a:r>
            <a:rPr lang="en-US" sz="1100"/>
            <a:t>• Apple Inc. achieved the highest supplier compliance.</a:t>
          </a:r>
        </a:p>
        <a:p>
          <a:pPr algn="l"/>
          <a:r>
            <a:rPr lang="en-US" sz="1100"/>
            <a:t>• Delta Logistics recorded the highest defect rate.</a:t>
          </a:r>
        </a:p>
        <a:p>
          <a:pPr algn="l"/>
          <a:r>
            <a:rPr lang="en-US" sz="1100"/>
            <a:t>• HQ received the largest procurement investment.</a:t>
          </a:r>
        </a:p>
        <a:p>
          <a:pPr algn="l"/>
          <a:r>
            <a:rPr lang="en-US" sz="1100"/>
            <a:t>• Delivery issues affected 27.93% of purchase orders.</a:t>
          </a:r>
        </a:p>
        <a:p>
          <a:pPr algn="l"/>
          <a:r>
            <a:rPr lang="en-US" sz="1100"/>
            <a:t>• Procurement savings exceeded 3.93 million.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3D679C0-651A-3D42-A38E-40508E710234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A142EB-5588-0544-9C97-FDDB04A0C690}" autoFormatId="16" applyNumberFormats="0" applyBorderFormats="0" applyFontFormats="0" applyPatternFormats="0" applyAlignmentFormats="0" applyWidthHeightFormats="0">
  <queryTableRefresh nextId="11">
    <queryTableFields count="10">
      <queryTableField id="1" name="Order_Month" tableColumnId="1"/>
      <queryTableField id="2" name="PO_Count" tableColumnId="2"/>
      <queryTableField id="3" name="Total_Spend" tableColumnId="3"/>
      <queryTableField id="4" name="Total_Savings" tableColumnId="4"/>
      <queryTableField id="5" name="Compliance_Rate" tableColumnId="5"/>
      <queryTableField id="6" name="Total_Defective_Units" tableColumnId="6"/>
      <queryTableField id="7" name="Total_Quantity" tableColumnId="7"/>
      <queryTableField id="8" name="Delivery_Issue_Count" tableColumnId="8"/>
      <queryTableField id="9" name="Defect_Rate" tableColumnId="9"/>
      <queryTableField id="10" name="Delivery_Issue_Rat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2370A01-8AA7-964C-B458-705871DF41A4}" autoFormatId="16" applyNumberFormats="0" applyBorderFormats="0" applyFontFormats="0" applyPatternFormats="0" applyAlignmentFormats="0" applyWidthHeightFormats="0">
  <queryTableRefresh nextId="11">
    <queryTableFields count="10">
      <queryTableField id="1" name="Supplier" tableColumnId="1"/>
      <queryTableField id="2" name="PO_Count" tableColumnId="2"/>
      <queryTableField id="3" name="Total_Spend" tableColumnId="3"/>
      <queryTableField id="4" name="Total_Savings" tableColumnId="4"/>
      <queryTableField id="5" name="Compliance_Rate" tableColumnId="5"/>
      <queryTableField id="6" name="Total_Defective_Units" tableColumnId="6"/>
      <queryTableField id="7" name="Total_Quantity" tableColumnId="7"/>
      <queryTableField id="8" name="Delivery_Issue_Count" tableColumnId="8"/>
      <queryTableField id="9" name="Defect_Rate" tableColumnId="9"/>
      <queryTableField id="10" name="Delivery_Issue_Rat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0DD8D1-6D23-F44B-9C17-8D9194FD6960}" autoFormatId="16" applyNumberFormats="0" applyBorderFormats="0" applyFontFormats="0" applyPatternFormats="0" applyAlignmentFormats="0" applyWidthHeightFormats="0">
  <queryTableRefresh nextId="8">
    <queryTableFields count="7">
      <queryTableField id="1" name="Item_Category" tableColumnId="1"/>
      <queryTableField id="2" name="PO_Count" tableColumnId="2"/>
      <queryTableField id="3" name="Total_Spend" tableColumnId="3"/>
      <queryTableField id="4" name="Total_Savings" tableColumnId="4"/>
      <queryTableField id="5" name="Total_Defective_Units" tableColumnId="5"/>
      <queryTableField id="6" name="Total_Quantity" tableColumnId="6"/>
      <queryTableField id="7" name="Defect_R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43CA2-3EAB-3B4C-A6EC-1E5491075218}" name="tblOverallKPI" displayName="tblOverallKPI" ref="A1:B9" tableType="queryTable" totalsRowShown="0" headerRowDxfId="4">
  <autoFilter ref="A1:B9" xr:uid="{0BB43CA2-3EAB-3B4C-A6EC-1E5491075218}"/>
  <tableColumns count="2">
    <tableColumn id="1" xr3:uid="{A96CB4BE-68EE-E041-BB4D-6193E1102E04}" uniqueName="1" name="Metric" queryTableFieldId="1" dataDxfId="3"/>
    <tableColumn id="2" xr3:uid="{06BA5630-9D38-F049-A9B8-E62B26C0182C}" uniqueName="2" name="Value" queryTableField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150037-1515-7547-800C-8FE22F4FC2E1}" name="monthly_kpi_summary" displayName="monthly_kpi_summary" ref="A1:J26" tableType="queryTable" totalsRowShown="0">
  <autoFilter ref="A1:J26" xr:uid="{57150037-1515-7547-800C-8FE22F4FC2E1}"/>
  <tableColumns count="10">
    <tableColumn id="1" xr3:uid="{9F4AB3C9-1D50-B54C-8E97-6C0679A0F6FD}" uniqueName="1" name="Order_Month" queryTableFieldId="1" dataDxfId="2"/>
    <tableColumn id="2" xr3:uid="{25282401-FD91-F241-AE35-4FB81A6171D0}" uniqueName="2" name="PO_Count" queryTableFieldId="2"/>
    <tableColumn id="3" xr3:uid="{D42D415C-F53B-1044-AE88-426BF3F3E8D9}" uniqueName="3" name="Total_Spend" queryTableFieldId="3"/>
    <tableColumn id="4" xr3:uid="{B30D6342-49C9-A84C-B187-F7863CAD0C89}" uniqueName="4" name="Total_Savings" queryTableFieldId="4"/>
    <tableColumn id="5" xr3:uid="{E379FD79-F051-B245-9183-06BFF23A8727}" uniqueName="5" name="Compliance_Rate" queryTableFieldId="5"/>
    <tableColumn id="6" xr3:uid="{4C2C1988-5B9D-F143-A009-BA84C5AAA6A4}" uniqueName="6" name="Total_Defective_Units" queryTableFieldId="6"/>
    <tableColumn id="7" xr3:uid="{1647CB02-08DF-E744-90B0-D07F920EBFF5}" uniqueName="7" name="Total_Quantity" queryTableFieldId="7"/>
    <tableColumn id="8" xr3:uid="{5A3696F3-958C-B746-A857-5E89A8B0559A}" uniqueName="8" name="Delivery_Issue_Count" queryTableFieldId="8"/>
    <tableColumn id="9" xr3:uid="{289A08C4-4A5A-2D47-B547-0C73042695A8}" uniqueName="9" name="Defect_Rate" queryTableFieldId="9"/>
    <tableColumn id="10" xr3:uid="{FA651862-D76F-D74A-87DB-B742CA151084}" uniqueName="10" name="Delivery_Issue_Rat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3925D4-30E7-6B40-ADEE-BCDB90AC7CEC}" name="supplier_kpi_summary" displayName="supplier_kpi_summary" ref="A1:J6" tableType="queryTable" totalsRowShown="0">
  <autoFilter ref="A1:J6" xr:uid="{143925D4-30E7-6B40-ADEE-BCDB90AC7CEC}"/>
  <tableColumns count="10">
    <tableColumn id="1" xr3:uid="{3BB9EBE7-C609-484C-A621-D21273677529}" uniqueName="1" name="Supplier" queryTableFieldId="1" dataDxfId="1"/>
    <tableColumn id="2" xr3:uid="{EA5197DA-2060-CE4F-BB7D-E21853792A82}" uniqueName="2" name="PO_Count" queryTableFieldId="2"/>
    <tableColumn id="3" xr3:uid="{2DFFFEBD-CE63-C949-AD4D-37D108BF3E51}" uniqueName="3" name="Total_Spend" queryTableFieldId="3"/>
    <tableColumn id="4" xr3:uid="{73C5AFB2-7B03-D84C-B164-73659E8C0E38}" uniqueName="4" name="Total_Savings" queryTableFieldId="4"/>
    <tableColumn id="5" xr3:uid="{2B75EE43-F3E9-BD44-B457-BA31F755E006}" uniqueName="5" name="Compliance_Rate" queryTableFieldId="5"/>
    <tableColumn id="6" xr3:uid="{BD5BCDD0-4B69-5D4E-A847-21C380108BE5}" uniqueName="6" name="Total_Defective_Units" queryTableFieldId="6"/>
    <tableColumn id="7" xr3:uid="{5C175C4C-E264-4444-BF57-84A214E29AA8}" uniqueName="7" name="Total_Quantity" queryTableFieldId="7"/>
    <tableColumn id="8" xr3:uid="{5E4A8B5E-CC5D-CF4F-B0A3-AB3D21DD65A3}" uniqueName="8" name="Delivery_Issue_Count" queryTableFieldId="8"/>
    <tableColumn id="9" xr3:uid="{95E09FDF-0B99-014C-A18A-F0FF4D8CA342}" uniqueName="9" name="Defect_Rate" queryTableFieldId="9"/>
    <tableColumn id="10" xr3:uid="{9CC6999F-2952-EE46-81D6-D291FA245153}" uniqueName="10" name="Delivery_Issue_Rat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376FCF-2B3D-C64D-8765-6013D24943A6}" name="category_kpi_summary" displayName="category_kpi_summary" ref="A1:G6" tableType="queryTable" totalsRowShown="0">
  <autoFilter ref="A1:G6" xr:uid="{9F376FCF-2B3D-C64D-8765-6013D24943A6}"/>
  <tableColumns count="7">
    <tableColumn id="1" xr3:uid="{8784D3B1-5103-4141-A700-1CF1EC00379C}" uniqueName="1" name="Item_Category" queryTableFieldId="1" dataDxfId="0"/>
    <tableColumn id="2" xr3:uid="{108BCCA5-CE34-774B-A23C-20132C7B8D99}" uniqueName="2" name="PO_Count" queryTableFieldId="2"/>
    <tableColumn id="3" xr3:uid="{61B63249-FA42-4640-975E-69436ADAEBC1}" uniqueName="3" name="Total_Spend" queryTableFieldId="3"/>
    <tableColumn id="4" xr3:uid="{53D57076-0E44-EE42-8DEA-48AF78DF51D3}" uniqueName="4" name="Total_Savings" queryTableFieldId="4"/>
    <tableColumn id="5" xr3:uid="{A6DAB5F8-3F14-2043-9E58-306A48A88354}" uniqueName="5" name="Total_Defective_Units" queryTableFieldId="5"/>
    <tableColumn id="6" xr3:uid="{9FB8895C-73C4-1641-A663-908997EE9BA6}" uniqueName="6" name="Total_Quantity" queryTableFieldId="6"/>
    <tableColumn id="7" xr3:uid="{F035A55B-F7E3-F24F-8F34-455CDB34B36F}" uniqueName="7" name="Defect_Rat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E669-95EC-0147-96D7-C47A7AD593EA}">
  <dimension ref="A1:T81"/>
  <sheetViews>
    <sheetView showGridLines="0" tabSelected="1" topLeftCell="A48" zoomScale="75" workbookViewId="0">
      <selection activeCell="T16" sqref="T16"/>
    </sheetView>
  </sheetViews>
  <sheetFormatPr baseColWidth="10" defaultRowHeight="16" x14ac:dyDescent="0.2"/>
  <cols>
    <col min="1" max="20" width="13.83203125" customWidth="1"/>
  </cols>
  <sheetData>
    <row r="1" spans="1:20" x14ac:dyDescent="0.2">
      <c r="A1" s="9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2">
      <c r="A3" s="11" t="s">
        <v>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">
      <c r="N4" s="15" t="s">
        <v>49</v>
      </c>
      <c r="O4" s="8"/>
    </row>
    <row r="17" spans="1:18" x14ac:dyDescent="0.2">
      <c r="A17" s="13" t="s">
        <v>12</v>
      </c>
      <c r="B17" s="12"/>
      <c r="C17" s="12"/>
      <c r="D17" s="12"/>
      <c r="E17" s="12"/>
      <c r="F17" s="12"/>
      <c r="G17" s="12"/>
      <c r="H17" s="12"/>
      <c r="L17" s="13" t="s">
        <v>27</v>
      </c>
      <c r="M17" s="12"/>
      <c r="N17" s="12"/>
      <c r="O17" s="12"/>
      <c r="P17" s="12"/>
      <c r="Q17" s="12"/>
      <c r="R17" s="12"/>
    </row>
    <row r="18" spans="1:18" x14ac:dyDescent="0.2">
      <c r="A18" s="12"/>
      <c r="B18" s="12"/>
      <c r="C18" s="12"/>
      <c r="D18" s="12"/>
      <c r="E18" s="12"/>
      <c r="F18" s="12"/>
      <c r="G18" s="12"/>
      <c r="H18" s="12"/>
      <c r="L18" s="12"/>
      <c r="M18" s="12"/>
      <c r="N18" s="12"/>
      <c r="O18" s="12"/>
      <c r="P18" s="12"/>
      <c r="Q18" s="12"/>
      <c r="R18" s="12"/>
    </row>
    <row r="19" spans="1:18" x14ac:dyDescent="0.2">
      <c r="A19" s="12"/>
      <c r="B19" s="12"/>
      <c r="C19" s="12"/>
      <c r="D19" s="12"/>
      <c r="E19" s="12"/>
      <c r="F19" s="12"/>
      <c r="G19" s="12"/>
      <c r="H19" s="12"/>
      <c r="L19" s="12"/>
      <c r="M19" s="12"/>
      <c r="N19" s="12"/>
      <c r="O19" s="12"/>
      <c r="P19" s="12"/>
      <c r="Q19" s="12"/>
      <c r="R19" s="12"/>
    </row>
    <row r="20" spans="1:18" x14ac:dyDescent="0.2">
      <c r="A20" s="8" t="s">
        <v>12</v>
      </c>
      <c r="B20" s="8"/>
      <c r="C20" s="8"/>
    </row>
    <row r="22" spans="1:18" x14ac:dyDescent="0.2">
      <c r="C22" s="2" t="s">
        <v>23</v>
      </c>
      <c r="H22" s="2" t="s">
        <v>24</v>
      </c>
      <c r="N22" s="2" t="s">
        <v>34</v>
      </c>
      <c r="R22" s="2" t="s">
        <v>35</v>
      </c>
    </row>
    <row r="39" spans="3:19" x14ac:dyDescent="0.2">
      <c r="C39" s="2" t="s">
        <v>25</v>
      </c>
      <c r="H39" s="2" t="s">
        <v>26</v>
      </c>
      <c r="N39" s="2" t="s">
        <v>36</v>
      </c>
      <c r="S39" s="2" t="s">
        <v>37</v>
      </c>
    </row>
    <row r="57" spans="7:15" x14ac:dyDescent="0.2">
      <c r="G57" s="13" t="s">
        <v>38</v>
      </c>
      <c r="H57" s="12"/>
      <c r="I57" s="12"/>
      <c r="J57" s="12"/>
      <c r="K57" s="12"/>
      <c r="L57" s="12"/>
      <c r="M57" s="12"/>
      <c r="N57" s="12"/>
      <c r="O57" s="12"/>
    </row>
    <row r="58" spans="7:15" x14ac:dyDescent="0.2">
      <c r="G58" s="12"/>
      <c r="H58" s="12"/>
      <c r="I58" s="12"/>
      <c r="J58" s="12"/>
      <c r="K58" s="12"/>
      <c r="L58" s="12"/>
      <c r="M58" s="12"/>
      <c r="N58" s="12"/>
      <c r="O58" s="12"/>
    </row>
    <row r="59" spans="7:15" x14ac:dyDescent="0.2">
      <c r="G59" s="12"/>
      <c r="H59" s="12"/>
      <c r="I59" s="12"/>
      <c r="J59" s="12"/>
      <c r="K59" s="12"/>
      <c r="L59" s="12"/>
      <c r="M59" s="12"/>
      <c r="N59" s="12"/>
      <c r="O59" s="12"/>
    </row>
    <row r="60" spans="7:15" x14ac:dyDescent="0.2">
      <c r="G60" s="12"/>
      <c r="H60" s="12"/>
      <c r="I60" s="12"/>
      <c r="J60" s="12"/>
      <c r="K60" s="12"/>
      <c r="L60" s="12"/>
      <c r="M60" s="12"/>
      <c r="N60" s="12"/>
      <c r="O60" s="12"/>
    </row>
    <row r="64" spans="7:15" x14ac:dyDescent="0.2">
      <c r="I64" s="2" t="s">
        <v>45</v>
      </c>
      <c r="M64" s="2" t="s">
        <v>46</v>
      </c>
    </row>
    <row r="81" spans="9:13" x14ac:dyDescent="0.2">
      <c r="I81" s="2" t="s">
        <v>47</v>
      </c>
      <c r="M81" s="2" t="s">
        <v>48</v>
      </c>
    </row>
  </sheetData>
  <mergeCells count="7">
    <mergeCell ref="G57:O60"/>
    <mergeCell ref="N4:O4"/>
    <mergeCell ref="A1:T2"/>
    <mergeCell ref="A3:T3"/>
    <mergeCell ref="A17:H19"/>
    <mergeCell ref="A20:C20"/>
    <mergeCell ref="L17:R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FCD2-5DAA-5149-89BD-DADC4C8CC69B}">
  <dimension ref="A1:B9"/>
  <sheetViews>
    <sheetView zoomScale="218" zoomScaleNormal="218" workbookViewId="0">
      <pane ySplit="1" topLeftCell="A2" activePane="bottomLeft" state="frozen"/>
      <selection pane="bottomLeft" activeCell="C4" sqref="C4"/>
    </sheetView>
  </sheetViews>
  <sheetFormatPr baseColWidth="10" defaultRowHeight="16" x14ac:dyDescent="0.2"/>
  <cols>
    <col min="1" max="1" width="22.5" customWidth="1"/>
    <col min="2" max="2" width="11.6640625" bestFit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4" t="s">
        <v>2</v>
      </c>
      <c r="B2" s="5">
        <v>777</v>
      </c>
    </row>
    <row r="3" spans="1:2" x14ac:dyDescent="0.2">
      <c r="A3" s="4" t="s">
        <v>3</v>
      </c>
      <c r="B3" s="6">
        <v>45373696.390000001</v>
      </c>
    </row>
    <row r="4" spans="1:2" x14ac:dyDescent="0.2">
      <c r="A4" s="4" t="s">
        <v>4</v>
      </c>
      <c r="B4" s="6">
        <v>3931126.4699999993</v>
      </c>
    </row>
    <row r="5" spans="1:2" x14ac:dyDescent="0.2">
      <c r="A5" s="4" t="s">
        <v>5</v>
      </c>
      <c r="B5" s="7">
        <v>0.82368082368082363</v>
      </c>
    </row>
    <row r="6" spans="1:2" x14ac:dyDescent="0.2">
      <c r="A6" s="4" t="s">
        <v>6</v>
      </c>
      <c r="B6" s="7">
        <v>5.6374044589918772E-2</v>
      </c>
    </row>
    <row r="7" spans="1:2" x14ac:dyDescent="0.2">
      <c r="A7" s="4" t="s">
        <v>7</v>
      </c>
      <c r="B7" s="7">
        <v>0.27927927927927926</v>
      </c>
    </row>
    <row r="8" spans="1:2" x14ac:dyDescent="0.2">
      <c r="A8" s="4" t="s">
        <v>8</v>
      </c>
      <c r="B8" s="5">
        <v>5</v>
      </c>
    </row>
    <row r="9" spans="1:2" x14ac:dyDescent="0.2">
      <c r="A9" s="4" t="s">
        <v>9</v>
      </c>
      <c r="B9" s="6">
        <v>58396.005649935651</v>
      </c>
    </row>
  </sheetData>
  <conditionalFormatting sqref="B5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9F45-5BA1-0042-BF35-00628F47847F}">
  <dimension ref="A1:J26"/>
  <sheetViews>
    <sheetView topLeftCell="F7" zoomScale="213" workbookViewId="0">
      <selection activeCell="J1" activeCellId="1" sqref="A1:A1048576 J1:J1048576"/>
    </sheetView>
  </sheetViews>
  <sheetFormatPr baseColWidth="10" defaultRowHeight="16" x14ac:dyDescent="0.2"/>
  <cols>
    <col min="1" max="1" width="14.33203125" bestFit="1" customWidth="1"/>
    <col min="2" max="2" width="12" bestFit="1" customWidth="1"/>
    <col min="3" max="3" width="13.5" bestFit="1" customWidth="1"/>
    <col min="4" max="4" width="14.83203125" bestFit="1" customWidth="1"/>
    <col min="5" max="5" width="18.33203125" bestFit="1" customWidth="1"/>
    <col min="6" max="6" width="21.83203125" bestFit="1" customWidth="1"/>
    <col min="7" max="7" width="15.5" bestFit="1" customWidth="1"/>
    <col min="8" max="8" width="21.6640625" bestFit="1" customWidth="1"/>
    <col min="9" max="9" width="14" bestFit="1" customWidth="1"/>
    <col min="10" max="10" width="20.5" bestFit="1" customWidth="1"/>
  </cols>
  <sheetData>
    <row r="1" spans="1:10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">
      <c r="A2" s="14">
        <v>44562</v>
      </c>
      <c r="B2">
        <v>31</v>
      </c>
      <c r="C2">
        <v>1536378.93</v>
      </c>
      <c r="D2">
        <v>144355.32999999999</v>
      </c>
      <c r="E2">
        <v>0.967741935483871</v>
      </c>
      <c r="F2">
        <v>1044</v>
      </c>
      <c r="G2">
        <v>32554</v>
      </c>
      <c r="H2">
        <v>11</v>
      </c>
      <c r="I2">
        <v>3.2069791730662899E-2</v>
      </c>
      <c r="J2">
        <v>0.35483870967741937</v>
      </c>
    </row>
    <row r="3" spans="1:10" x14ac:dyDescent="0.2">
      <c r="A3" s="14">
        <v>44593</v>
      </c>
      <c r="B3">
        <v>27</v>
      </c>
      <c r="C3">
        <v>1377514.66</v>
      </c>
      <c r="D3">
        <v>131521.91000000003</v>
      </c>
      <c r="E3">
        <v>0.88888888888888884</v>
      </c>
      <c r="F3">
        <v>1613</v>
      </c>
      <c r="G3">
        <v>32000</v>
      </c>
      <c r="H3">
        <v>10</v>
      </c>
      <c r="I3">
        <v>5.040625E-2</v>
      </c>
      <c r="J3">
        <v>0.37037037037037035</v>
      </c>
    </row>
    <row r="4" spans="1:10" x14ac:dyDescent="0.2">
      <c r="A4" s="14">
        <v>44621</v>
      </c>
      <c r="B4">
        <v>41</v>
      </c>
      <c r="C4">
        <v>2592704.31</v>
      </c>
      <c r="D4">
        <v>184753.14999999997</v>
      </c>
      <c r="E4">
        <v>0.87804878048780488</v>
      </c>
      <c r="F4">
        <v>2235</v>
      </c>
      <c r="G4">
        <v>50729</v>
      </c>
      <c r="H4">
        <v>12</v>
      </c>
      <c r="I4">
        <v>4.4057639614421731E-2</v>
      </c>
      <c r="J4">
        <v>0.29268292682926828</v>
      </c>
    </row>
    <row r="5" spans="1:10" x14ac:dyDescent="0.2">
      <c r="A5" s="14">
        <v>44652</v>
      </c>
      <c r="B5">
        <v>35</v>
      </c>
      <c r="C5">
        <v>1928650.91</v>
      </c>
      <c r="D5">
        <v>171358.22</v>
      </c>
      <c r="E5">
        <v>0.88571428571428568</v>
      </c>
      <c r="F5">
        <v>2136</v>
      </c>
      <c r="G5">
        <v>42111</v>
      </c>
      <c r="H5">
        <v>8</v>
      </c>
      <c r="I5">
        <v>5.0723088979126592E-2</v>
      </c>
      <c r="J5">
        <v>0.22857142857142856</v>
      </c>
    </row>
    <row r="6" spans="1:10" x14ac:dyDescent="0.2">
      <c r="A6" s="14">
        <v>44682</v>
      </c>
      <c r="B6">
        <v>25</v>
      </c>
      <c r="C6">
        <v>1181945.98</v>
      </c>
      <c r="D6">
        <v>90386.459999999948</v>
      </c>
      <c r="E6">
        <v>0.88</v>
      </c>
      <c r="F6">
        <v>1226</v>
      </c>
      <c r="G6">
        <v>23570</v>
      </c>
      <c r="H6">
        <v>9</v>
      </c>
      <c r="I6">
        <v>5.2015273652948661E-2</v>
      </c>
      <c r="J6">
        <v>0.36</v>
      </c>
    </row>
    <row r="7" spans="1:10" x14ac:dyDescent="0.2">
      <c r="A7" s="14">
        <v>44713</v>
      </c>
      <c r="B7">
        <v>34</v>
      </c>
      <c r="C7">
        <v>1556825.02</v>
      </c>
      <c r="D7">
        <v>152476.81999999998</v>
      </c>
      <c r="E7">
        <v>0.91176470588235292</v>
      </c>
      <c r="F7">
        <v>2120</v>
      </c>
      <c r="G7">
        <v>32851</v>
      </c>
      <c r="H7">
        <v>10</v>
      </c>
      <c r="I7">
        <v>6.453380414599251E-2</v>
      </c>
      <c r="J7">
        <v>0.29411764705882354</v>
      </c>
    </row>
    <row r="8" spans="1:10" x14ac:dyDescent="0.2">
      <c r="A8" s="14">
        <v>44743</v>
      </c>
      <c r="B8">
        <v>27</v>
      </c>
      <c r="C8">
        <v>1293596.1100000001</v>
      </c>
      <c r="D8">
        <v>127829.62999999999</v>
      </c>
      <c r="E8">
        <v>0.77777777777777779</v>
      </c>
      <c r="F8">
        <v>1403</v>
      </c>
      <c r="G8">
        <v>26136</v>
      </c>
      <c r="H8">
        <v>9</v>
      </c>
      <c r="I8">
        <v>5.3680746862565042E-2</v>
      </c>
      <c r="J8">
        <v>0.33333333333333331</v>
      </c>
    </row>
    <row r="9" spans="1:10" x14ac:dyDescent="0.2">
      <c r="A9" s="14">
        <v>44774</v>
      </c>
      <c r="B9">
        <v>43</v>
      </c>
      <c r="C9">
        <v>2329232.23</v>
      </c>
      <c r="D9">
        <v>175961.66999999998</v>
      </c>
      <c r="E9">
        <v>0.79069767441860461</v>
      </c>
      <c r="F9">
        <v>2219</v>
      </c>
      <c r="G9">
        <v>42803</v>
      </c>
      <c r="H9">
        <v>16</v>
      </c>
      <c r="I9">
        <v>5.1842160596219891E-2</v>
      </c>
      <c r="J9">
        <v>0.37209302325581395</v>
      </c>
    </row>
    <row r="10" spans="1:10" x14ac:dyDescent="0.2">
      <c r="A10" s="14">
        <v>44805</v>
      </c>
      <c r="B10">
        <v>43</v>
      </c>
      <c r="C10">
        <v>2175996.89</v>
      </c>
      <c r="D10">
        <v>164677.77999999994</v>
      </c>
      <c r="E10">
        <v>0.7441860465116279</v>
      </c>
      <c r="F10">
        <v>2887</v>
      </c>
      <c r="G10">
        <v>42311</v>
      </c>
      <c r="H10">
        <v>9</v>
      </c>
      <c r="I10">
        <v>6.8232847250124087E-2</v>
      </c>
      <c r="J10">
        <v>0.20930232558139536</v>
      </c>
    </row>
    <row r="11" spans="1:10" x14ac:dyDescent="0.2">
      <c r="A11" s="14">
        <v>44835</v>
      </c>
      <c r="B11">
        <v>31</v>
      </c>
      <c r="C11">
        <v>1782151.4300000002</v>
      </c>
      <c r="D11">
        <v>172109.45999999996</v>
      </c>
      <c r="E11">
        <v>0.74193548387096775</v>
      </c>
      <c r="F11">
        <v>1545</v>
      </c>
      <c r="G11">
        <v>28810</v>
      </c>
      <c r="H11">
        <v>8</v>
      </c>
      <c r="I11">
        <v>5.3627212773342592E-2</v>
      </c>
      <c r="J11">
        <v>0.25806451612903225</v>
      </c>
    </row>
    <row r="12" spans="1:10" x14ac:dyDescent="0.2">
      <c r="A12" s="14">
        <v>44866</v>
      </c>
      <c r="B12">
        <v>29</v>
      </c>
      <c r="C12">
        <v>1535245.54</v>
      </c>
      <c r="D12">
        <v>145303.10999999993</v>
      </c>
      <c r="E12">
        <v>0.68965517241379315</v>
      </c>
      <c r="F12">
        <v>2226</v>
      </c>
      <c r="G12">
        <v>30822</v>
      </c>
      <c r="H12">
        <v>10</v>
      </c>
      <c r="I12">
        <v>7.2221140743624679E-2</v>
      </c>
      <c r="J12">
        <v>0.34482758620689657</v>
      </c>
    </row>
    <row r="13" spans="1:10" x14ac:dyDescent="0.2">
      <c r="A13" s="14">
        <v>44896</v>
      </c>
      <c r="B13">
        <v>30</v>
      </c>
      <c r="C13">
        <v>2171086.65</v>
      </c>
      <c r="D13">
        <v>182634.79</v>
      </c>
      <c r="E13">
        <v>0.83333333333333337</v>
      </c>
      <c r="F13">
        <v>2294</v>
      </c>
      <c r="G13">
        <v>38617</v>
      </c>
      <c r="H13">
        <v>9</v>
      </c>
      <c r="I13">
        <v>5.9403889478726983E-2</v>
      </c>
      <c r="J13">
        <v>0.3</v>
      </c>
    </row>
    <row r="14" spans="1:10" x14ac:dyDescent="0.2">
      <c r="A14" s="14">
        <v>44927</v>
      </c>
      <c r="B14">
        <v>30</v>
      </c>
      <c r="C14">
        <v>2276857.9900000002</v>
      </c>
      <c r="D14">
        <v>160296.26999999996</v>
      </c>
      <c r="E14">
        <v>0.96666666666666667</v>
      </c>
      <c r="F14">
        <v>1203</v>
      </c>
      <c r="G14">
        <v>33789</v>
      </c>
      <c r="H14">
        <v>6</v>
      </c>
      <c r="I14">
        <v>3.5603302850039951E-2</v>
      </c>
      <c r="J14">
        <v>0.2</v>
      </c>
    </row>
    <row r="15" spans="1:10" x14ac:dyDescent="0.2">
      <c r="A15" s="14">
        <v>44958</v>
      </c>
      <c r="B15">
        <v>28</v>
      </c>
      <c r="C15">
        <v>1773987.81</v>
      </c>
      <c r="D15">
        <v>144945.07999999999</v>
      </c>
      <c r="E15">
        <v>0.7857142857142857</v>
      </c>
      <c r="F15">
        <v>2151</v>
      </c>
      <c r="G15">
        <v>33751</v>
      </c>
      <c r="H15">
        <v>7</v>
      </c>
      <c r="I15">
        <v>6.3731444994222397E-2</v>
      </c>
      <c r="J15">
        <v>0.25</v>
      </c>
    </row>
    <row r="16" spans="1:10" x14ac:dyDescent="0.2">
      <c r="A16" s="14">
        <v>44986</v>
      </c>
      <c r="B16">
        <v>39</v>
      </c>
      <c r="C16">
        <v>2744443.66</v>
      </c>
      <c r="D16">
        <v>290124.75000000006</v>
      </c>
      <c r="E16">
        <v>0.79487179487179482</v>
      </c>
      <c r="F16">
        <v>2951</v>
      </c>
      <c r="G16">
        <v>46890</v>
      </c>
      <c r="H16">
        <v>9</v>
      </c>
      <c r="I16">
        <v>6.2934527617828959E-2</v>
      </c>
      <c r="J16">
        <v>0.23076923076923078</v>
      </c>
    </row>
    <row r="17" spans="1:10" x14ac:dyDescent="0.2">
      <c r="A17" s="14">
        <v>45017</v>
      </c>
      <c r="B17">
        <v>33</v>
      </c>
      <c r="C17">
        <v>1709713.8</v>
      </c>
      <c r="D17">
        <v>179736.89999999997</v>
      </c>
      <c r="E17">
        <v>0.87878787878787878</v>
      </c>
      <c r="F17">
        <v>1949</v>
      </c>
      <c r="G17">
        <v>34717</v>
      </c>
      <c r="H17">
        <v>8</v>
      </c>
      <c r="I17">
        <v>5.6139643402367718E-2</v>
      </c>
      <c r="J17">
        <v>0.24242424242424243</v>
      </c>
    </row>
    <row r="18" spans="1:10" x14ac:dyDescent="0.2">
      <c r="A18" s="14">
        <v>45047</v>
      </c>
      <c r="B18">
        <v>20</v>
      </c>
      <c r="C18">
        <v>1511826.2</v>
      </c>
      <c r="D18">
        <v>131034.63000000003</v>
      </c>
      <c r="E18">
        <v>0.95</v>
      </c>
      <c r="F18">
        <v>1929</v>
      </c>
      <c r="G18">
        <v>25096</v>
      </c>
      <c r="H18">
        <v>5</v>
      </c>
      <c r="I18">
        <v>7.686483901817022E-2</v>
      </c>
      <c r="J18">
        <v>0.25</v>
      </c>
    </row>
    <row r="19" spans="1:10" x14ac:dyDescent="0.2">
      <c r="A19" s="14">
        <v>45078</v>
      </c>
      <c r="B19">
        <v>26</v>
      </c>
      <c r="C19">
        <v>1396136.4</v>
      </c>
      <c r="D19">
        <v>102045.05000000003</v>
      </c>
      <c r="E19">
        <v>0.65384615384615385</v>
      </c>
      <c r="F19">
        <v>1229</v>
      </c>
      <c r="G19">
        <v>25670</v>
      </c>
      <c r="H19">
        <v>6</v>
      </c>
      <c r="I19">
        <v>4.7876899104012466E-2</v>
      </c>
      <c r="J19">
        <v>0.23076923076923078</v>
      </c>
    </row>
    <row r="20" spans="1:10" x14ac:dyDescent="0.2">
      <c r="A20" s="14">
        <v>45108</v>
      </c>
      <c r="B20">
        <v>44</v>
      </c>
      <c r="C20">
        <v>2365673.85</v>
      </c>
      <c r="D20">
        <v>207210.72000000003</v>
      </c>
      <c r="E20">
        <v>0.88636363636363635</v>
      </c>
      <c r="F20">
        <v>3656</v>
      </c>
      <c r="G20">
        <v>50982</v>
      </c>
      <c r="H20">
        <v>9</v>
      </c>
      <c r="I20">
        <v>7.1711584480797147E-2</v>
      </c>
      <c r="J20">
        <v>0.20454545454545456</v>
      </c>
    </row>
    <row r="21" spans="1:10" x14ac:dyDescent="0.2">
      <c r="A21" s="14">
        <v>45139</v>
      </c>
      <c r="B21">
        <v>31</v>
      </c>
      <c r="C21">
        <v>2010221.33</v>
      </c>
      <c r="D21">
        <v>154790.0199999999</v>
      </c>
      <c r="E21">
        <v>0.83870967741935487</v>
      </c>
      <c r="F21">
        <v>1711</v>
      </c>
      <c r="G21">
        <v>35656</v>
      </c>
      <c r="H21">
        <v>10</v>
      </c>
      <c r="I21">
        <v>4.7986313663899487E-2</v>
      </c>
      <c r="J21">
        <v>0.32258064516129031</v>
      </c>
    </row>
    <row r="22" spans="1:10" x14ac:dyDescent="0.2">
      <c r="A22" s="14">
        <v>45170</v>
      </c>
      <c r="B22">
        <v>29</v>
      </c>
      <c r="C22">
        <v>2230645.2799999998</v>
      </c>
      <c r="D22">
        <v>215637.56000000006</v>
      </c>
      <c r="E22">
        <v>0.7931034482758621</v>
      </c>
      <c r="F22">
        <v>2004</v>
      </c>
      <c r="G22">
        <v>35021</v>
      </c>
      <c r="H22">
        <v>6</v>
      </c>
      <c r="I22">
        <v>5.7222809171639875E-2</v>
      </c>
      <c r="J22">
        <v>0.20689655172413793</v>
      </c>
    </row>
    <row r="23" spans="1:10" x14ac:dyDescent="0.2">
      <c r="A23" s="14">
        <v>45200</v>
      </c>
      <c r="B23">
        <v>29</v>
      </c>
      <c r="C23">
        <v>1869843.2</v>
      </c>
      <c r="D23">
        <v>147164.17999999993</v>
      </c>
      <c r="E23">
        <v>0.65517241379310343</v>
      </c>
      <c r="F23">
        <v>1963</v>
      </c>
      <c r="G23">
        <v>33153</v>
      </c>
      <c r="H23">
        <v>7</v>
      </c>
      <c r="I23">
        <v>5.9210327873797243E-2</v>
      </c>
      <c r="J23">
        <v>0.2413793103448276</v>
      </c>
    </row>
    <row r="24" spans="1:10" x14ac:dyDescent="0.2">
      <c r="A24" s="14">
        <v>45231</v>
      </c>
      <c r="B24">
        <v>44</v>
      </c>
      <c r="C24">
        <v>2583675.29</v>
      </c>
      <c r="D24">
        <v>220489.45999999993</v>
      </c>
      <c r="E24">
        <v>0.72727272727272729</v>
      </c>
      <c r="F24">
        <v>2435</v>
      </c>
      <c r="G24">
        <v>45320</v>
      </c>
      <c r="H24">
        <v>15</v>
      </c>
      <c r="I24">
        <v>5.3729037952338923E-2</v>
      </c>
      <c r="J24">
        <v>0.34090909090909088</v>
      </c>
    </row>
    <row r="25" spans="1:10" x14ac:dyDescent="0.2">
      <c r="A25" s="14">
        <v>45261</v>
      </c>
      <c r="B25">
        <v>26</v>
      </c>
      <c r="C25">
        <v>1270011.57</v>
      </c>
      <c r="D25">
        <v>117763.01999999997</v>
      </c>
      <c r="E25">
        <v>0.88461538461538458</v>
      </c>
      <c r="F25">
        <v>1586</v>
      </c>
      <c r="G25">
        <v>24632</v>
      </c>
      <c r="H25">
        <v>6</v>
      </c>
      <c r="I25">
        <v>6.438778824293602E-2</v>
      </c>
      <c r="J25">
        <v>0.23076923076923078</v>
      </c>
    </row>
    <row r="26" spans="1:10" x14ac:dyDescent="0.2">
      <c r="A26" s="14">
        <v>45292</v>
      </c>
      <c r="B26">
        <v>2</v>
      </c>
      <c r="C26">
        <v>169331.34999999998</v>
      </c>
      <c r="D26">
        <v>16520.500000000015</v>
      </c>
      <c r="E26">
        <v>1</v>
      </c>
      <c r="F26">
        <v>234</v>
      </c>
      <c r="G26">
        <v>2560</v>
      </c>
      <c r="H26">
        <v>2</v>
      </c>
      <c r="I26">
        <v>9.1406249999999994E-2</v>
      </c>
      <c r="J2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344A-6742-6146-AC51-7EA51C924D94}">
  <dimension ref="A1:J6"/>
  <sheetViews>
    <sheetView workbookViewId="0">
      <selection activeCell="H1" activeCellId="1" sqref="A1:A1048576 H1:H1048576"/>
    </sheetView>
  </sheetViews>
  <sheetFormatPr baseColWidth="10" defaultRowHeight="16" x14ac:dyDescent="0.2"/>
  <cols>
    <col min="1" max="1" width="13.5" bestFit="1" customWidth="1"/>
    <col min="2" max="2" width="12" bestFit="1" customWidth="1"/>
    <col min="3" max="3" width="13.5" bestFit="1" customWidth="1"/>
    <col min="4" max="4" width="14.83203125" bestFit="1" customWidth="1"/>
    <col min="5" max="5" width="18.33203125" bestFit="1" customWidth="1"/>
    <col min="6" max="6" width="21.83203125" bestFit="1" customWidth="1"/>
    <col min="7" max="7" width="15.5" bestFit="1" customWidth="1"/>
    <col min="8" max="8" width="21.6640625" bestFit="1" customWidth="1"/>
    <col min="9" max="9" width="14" bestFit="1" customWidth="1"/>
    <col min="10" max="10" width="20.5" bestFit="1" customWidth="1"/>
  </cols>
  <sheetData>
    <row r="1" spans="1:10" x14ac:dyDescent="0.2">
      <c r="A1" t="s">
        <v>28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">
      <c r="A2" s="1" t="s">
        <v>29</v>
      </c>
      <c r="B2">
        <v>156</v>
      </c>
      <c r="C2">
        <v>9858665.9000000004</v>
      </c>
      <c r="D2">
        <v>889940.8899999999</v>
      </c>
      <c r="E2">
        <v>0.75641025641025639</v>
      </c>
      <c r="F2">
        <v>13838</v>
      </c>
      <c r="G2">
        <v>180516</v>
      </c>
      <c r="H2">
        <v>43</v>
      </c>
      <c r="I2">
        <v>7.6658024773427286E-2</v>
      </c>
      <c r="J2">
        <v>0.27564102564102566</v>
      </c>
    </row>
    <row r="3" spans="1:10" x14ac:dyDescent="0.2">
      <c r="A3" s="1" t="s">
        <v>30</v>
      </c>
      <c r="B3">
        <v>166</v>
      </c>
      <c r="C3">
        <v>9851156.0600000005</v>
      </c>
      <c r="D3">
        <v>844980.17999999993</v>
      </c>
      <c r="E3">
        <v>0.98192771084337349</v>
      </c>
      <c r="F3">
        <v>4682</v>
      </c>
      <c r="G3">
        <v>180053</v>
      </c>
      <c r="H3">
        <v>45</v>
      </c>
      <c r="I3">
        <v>2.6003454538385921E-2</v>
      </c>
      <c r="J3">
        <v>0.27108433734939757</v>
      </c>
    </row>
    <row r="4" spans="1:10" x14ac:dyDescent="0.2">
      <c r="A4" s="1" t="s">
        <v>31</v>
      </c>
      <c r="B4">
        <v>171</v>
      </c>
      <c r="C4">
        <v>9236240.4700000007</v>
      </c>
      <c r="D4">
        <v>781976.48999999987</v>
      </c>
      <c r="E4">
        <v>0.60818713450292394</v>
      </c>
      <c r="F4">
        <v>19678</v>
      </c>
      <c r="G4">
        <v>181652</v>
      </c>
      <c r="H4">
        <v>52</v>
      </c>
      <c r="I4">
        <v>0.10832801180278775</v>
      </c>
      <c r="J4">
        <v>0.30409356725146197</v>
      </c>
    </row>
    <row r="5" spans="1:10" x14ac:dyDescent="0.2">
      <c r="A5" s="1" t="s">
        <v>32</v>
      </c>
      <c r="B5">
        <v>143</v>
      </c>
      <c r="C5">
        <v>8587921.7100000009</v>
      </c>
      <c r="D5">
        <v>725308.41999999993</v>
      </c>
      <c r="E5">
        <v>0.8601398601398601</v>
      </c>
      <c r="F5">
        <v>7034</v>
      </c>
      <c r="G5">
        <v>157916</v>
      </c>
      <c r="H5">
        <v>33</v>
      </c>
      <c r="I5">
        <v>4.4542668254008461E-2</v>
      </c>
      <c r="J5">
        <v>0.23076923076923078</v>
      </c>
    </row>
    <row r="6" spans="1:10" x14ac:dyDescent="0.2">
      <c r="A6" s="1" t="s">
        <v>33</v>
      </c>
      <c r="B6">
        <v>141</v>
      </c>
      <c r="C6">
        <v>7839712.25</v>
      </c>
      <c r="D6">
        <v>688920.49000000011</v>
      </c>
      <c r="E6">
        <v>0.93617021276595747</v>
      </c>
      <c r="F6">
        <v>2717</v>
      </c>
      <c r="G6">
        <v>150414</v>
      </c>
      <c r="H6">
        <v>44</v>
      </c>
      <c r="I6">
        <v>1.8063478133684363E-2</v>
      </c>
      <c r="J6">
        <v>0.31205673758865249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F097-F829-ED4B-B944-CBDCFDD17F04}">
  <dimension ref="A1:G6"/>
  <sheetViews>
    <sheetView workbookViewId="0">
      <selection activeCell="E1" activeCellId="1" sqref="A1:A1048576 E1:E1048576"/>
    </sheetView>
  </sheetViews>
  <sheetFormatPr baseColWidth="10" defaultRowHeight="16" x14ac:dyDescent="0.2"/>
  <cols>
    <col min="1" max="1" width="15.83203125" bestFit="1" customWidth="1"/>
    <col min="2" max="2" width="12" bestFit="1" customWidth="1"/>
    <col min="3" max="3" width="13.5" bestFit="1" customWidth="1"/>
    <col min="4" max="4" width="14.83203125" bestFit="1" customWidth="1"/>
    <col min="5" max="5" width="21.83203125" bestFit="1" customWidth="1"/>
    <col min="6" max="6" width="15.5" bestFit="1" customWidth="1"/>
    <col min="7" max="7" width="14" bestFit="1" customWidth="1"/>
  </cols>
  <sheetData>
    <row r="1" spans="1:7" x14ac:dyDescent="0.2">
      <c r="A1" t="s">
        <v>39</v>
      </c>
      <c r="B1" t="s">
        <v>14</v>
      </c>
      <c r="C1" t="s">
        <v>15</v>
      </c>
      <c r="D1" t="s">
        <v>16</v>
      </c>
      <c r="E1" t="s">
        <v>18</v>
      </c>
      <c r="F1" t="s">
        <v>19</v>
      </c>
      <c r="G1" t="s">
        <v>21</v>
      </c>
    </row>
    <row r="2" spans="1:7" x14ac:dyDescent="0.2">
      <c r="A2" s="1" t="s">
        <v>40</v>
      </c>
      <c r="B2">
        <v>164</v>
      </c>
      <c r="C2">
        <v>10126608.859999999</v>
      </c>
      <c r="D2">
        <v>902312.31</v>
      </c>
      <c r="E2">
        <v>9741</v>
      </c>
      <c r="F2">
        <v>187658</v>
      </c>
      <c r="G2">
        <v>5.1908258640718755E-2</v>
      </c>
    </row>
    <row r="3" spans="1:7" x14ac:dyDescent="0.2">
      <c r="A3" s="1" t="s">
        <v>41</v>
      </c>
      <c r="B3">
        <v>174</v>
      </c>
      <c r="C3">
        <v>10007583.029999999</v>
      </c>
      <c r="D3">
        <v>844096.15999999992</v>
      </c>
      <c r="E3">
        <v>11233</v>
      </c>
      <c r="F3">
        <v>179936</v>
      </c>
      <c r="G3">
        <v>6.2427752089631867E-2</v>
      </c>
    </row>
    <row r="4" spans="1:7" x14ac:dyDescent="0.2">
      <c r="A4" s="1" t="s">
        <v>42</v>
      </c>
      <c r="B4">
        <v>152</v>
      </c>
      <c r="C4">
        <v>8642550.5999999996</v>
      </c>
      <c r="D4">
        <v>742876.22999999986</v>
      </c>
      <c r="E4">
        <v>8981</v>
      </c>
      <c r="F4">
        <v>164829</v>
      </c>
      <c r="G4">
        <v>5.4486771138573913E-2</v>
      </c>
    </row>
    <row r="5" spans="1:7" x14ac:dyDescent="0.2">
      <c r="A5" s="1" t="s">
        <v>43</v>
      </c>
      <c r="B5">
        <v>139</v>
      </c>
      <c r="C5">
        <v>8471241.4199999999</v>
      </c>
      <c r="D5">
        <v>709097.24999999988</v>
      </c>
      <c r="E5">
        <v>9642</v>
      </c>
      <c r="F5">
        <v>151252</v>
      </c>
      <c r="G5">
        <v>6.3747917382910635E-2</v>
      </c>
    </row>
    <row r="6" spans="1:7" x14ac:dyDescent="0.2">
      <c r="A6" s="1" t="s">
        <v>44</v>
      </c>
      <c r="B6">
        <v>148</v>
      </c>
      <c r="C6">
        <v>8125712.4800000004</v>
      </c>
      <c r="D6">
        <v>732744.5199999999</v>
      </c>
      <c r="E6">
        <v>8352</v>
      </c>
      <c r="F6">
        <v>166876</v>
      </c>
      <c r="G6">
        <v>5.0049138282317412E-2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8EFC8B-DE5F-B940-99CA-BB9F9F7C7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Overall_KPI</vt:lpstr>
      <vt:lpstr>Monthly_KPI</vt:lpstr>
      <vt:lpstr>supplier_kpi_summary</vt:lpstr>
      <vt:lpstr>category_kpi_summary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</dc:creator>
  <cp:lastModifiedBy>NEHAL</cp:lastModifiedBy>
  <dcterms:created xsi:type="dcterms:W3CDTF">2026-07-11T08:35:31Z</dcterms:created>
  <dcterms:modified xsi:type="dcterms:W3CDTF">2026-07-11T18:50:57Z</dcterms:modified>
</cp:coreProperties>
</file>